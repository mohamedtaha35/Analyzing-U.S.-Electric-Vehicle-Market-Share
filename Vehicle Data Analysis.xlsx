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D:\البومي\EXCEL\Analyzing U.S. Electric Vehicle Market Share\"/>
    </mc:Choice>
  </mc:AlternateContent>
  <bookViews>
    <workbookView xWindow="0" yWindow="0" windowWidth="23040" windowHeight="9072" activeTab="1"/>
  </bookViews>
  <sheets>
    <sheet name="Vehicle Data" sheetId="1" r:id="rId1"/>
    <sheet name="Marketing Analysis" sheetId="3" r:id="rId2"/>
    <sheet name="Q.1-Answer" sheetId="6" r:id="rId3"/>
    <sheet name="Dashboard" sheetId="2" r:id="rId4"/>
    <sheet name="Recommendation" sheetId="4" r:id="rId5"/>
    <sheet name="Chart1 Top 5 States by % EV Veh" sheetId="5" state="hidden" r:id="rId6"/>
  </sheets>
  <calcPr calcId="162913"/>
  <pivotCaches>
    <pivotCache cacheId="3" r:id="rId7"/>
  </pivotCaches>
</workbook>
</file>

<file path=xl/calcChain.xml><?xml version="1.0" encoding="utf-8"?>
<calcChain xmlns="http://schemas.openxmlformats.org/spreadsheetml/2006/main">
  <c r="B25" i="3" l="1"/>
  <c r="B24" i="3"/>
  <c r="B23" i="3"/>
  <c r="B22" i="3"/>
  <c r="B21" i="3"/>
  <c r="B20" i="3"/>
  <c r="B19" i="3"/>
  <c r="B18" i="3"/>
  <c r="B17" i="3"/>
  <c r="B16" i="3"/>
  <c r="B15" i="3"/>
  <c r="B14" i="3"/>
  <c r="E5" i="3"/>
  <c r="D5" i="3"/>
  <c r="C5" i="3"/>
  <c r="B5" i="3"/>
  <c r="M53" i="1"/>
  <c r="L53" i="1"/>
  <c r="K53" i="1"/>
  <c r="J53" i="1"/>
  <c r="I53" i="1"/>
  <c r="H53" i="1"/>
  <c r="G53" i="1"/>
  <c r="F53" i="1"/>
  <c r="E53" i="1"/>
  <c r="D53" i="1"/>
  <c r="C53" i="1"/>
  <c r="B53" i="1"/>
  <c r="R52" i="1"/>
  <c r="O52" i="1"/>
  <c r="N52" i="1"/>
  <c r="Q52" i="1" s="1"/>
  <c r="R51" i="1"/>
  <c r="Q51" i="1"/>
  <c r="P51" i="1"/>
  <c r="O51" i="1"/>
  <c r="N51" i="1"/>
  <c r="R50" i="1"/>
  <c r="Q50" i="1"/>
  <c r="P50" i="1"/>
  <c r="O50" i="1"/>
  <c r="N50" i="1"/>
  <c r="N49" i="1"/>
  <c r="R49" i="1" s="1"/>
  <c r="Q48" i="1"/>
  <c r="N48" i="1"/>
  <c r="P48" i="1" s="1"/>
  <c r="N47" i="1"/>
  <c r="R47" i="1" s="1"/>
  <c r="P46" i="1"/>
  <c r="N46" i="1"/>
  <c r="R46" i="1" s="1"/>
  <c r="R45" i="1"/>
  <c r="Q45" i="1"/>
  <c r="P45" i="1"/>
  <c r="O45" i="1"/>
  <c r="N45" i="1"/>
  <c r="R44" i="1"/>
  <c r="O44" i="1"/>
  <c r="N44" i="1"/>
  <c r="Q44" i="1" s="1"/>
  <c r="R43" i="1"/>
  <c r="Q43" i="1"/>
  <c r="P43" i="1"/>
  <c r="O43" i="1"/>
  <c r="N43" i="1"/>
  <c r="R42" i="1"/>
  <c r="Q42" i="1"/>
  <c r="P42" i="1"/>
  <c r="O42" i="1"/>
  <c r="N42" i="1"/>
  <c r="N41" i="1"/>
  <c r="R41" i="1" s="1"/>
  <c r="Q40" i="1"/>
  <c r="N40" i="1"/>
  <c r="P40" i="1" s="1"/>
  <c r="N39" i="1"/>
  <c r="R39" i="1" s="1"/>
  <c r="P38" i="1"/>
  <c r="N38" i="1"/>
  <c r="R38" i="1" s="1"/>
  <c r="R37" i="1"/>
  <c r="Q37" i="1"/>
  <c r="P37" i="1"/>
  <c r="N37" i="1"/>
  <c r="O37" i="1" s="1"/>
  <c r="R36" i="1"/>
  <c r="O36" i="1"/>
  <c r="N36" i="1"/>
  <c r="Q36" i="1" s="1"/>
  <c r="R35" i="1"/>
  <c r="O35" i="1"/>
  <c r="N35" i="1"/>
  <c r="Q35" i="1" s="1"/>
  <c r="R34" i="1"/>
  <c r="Q34" i="1"/>
  <c r="P34" i="1"/>
  <c r="O34" i="1"/>
  <c r="N34" i="1"/>
  <c r="N33" i="1"/>
  <c r="Q33" i="1" s="1"/>
  <c r="Q32" i="1"/>
  <c r="N32" i="1"/>
  <c r="P32" i="1" s="1"/>
  <c r="N31" i="1"/>
  <c r="R31" i="1" s="1"/>
  <c r="P30" i="1"/>
  <c r="N30" i="1"/>
  <c r="R30" i="1" s="1"/>
  <c r="R29" i="1"/>
  <c r="Q29" i="1"/>
  <c r="P29" i="1"/>
  <c r="N29" i="1"/>
  <c r="O29" i="1" s="1"/>
  <c r="R28" i="1"/>
  <c r="O28" i="1"/>
  <c r="N28" i="1"/>
  <c r="Q28" i="1" s="1"/>
  <c r="R27" i="1"/>
  <c r="O27" i="1"/>
  <c r="N27" i="1"/>
  <c r="Q27" i="1" s="1"/>
  <c r="Q26" i="1"/>
  <c r="P26" i="1"/>
  <c r="O26" i="1"/>
  <c r="N26" i="1"/>
  <c r="R26" i="1" s="1"/>
  <c r="N25" i="1"/>
  <c r="R25" i="1" s="1"/>
  <c r="Q24" i="1"/>
  <c r="N24" i="1"/>
  <c r="P24" i="1" s="1"/>
  <c r="N23" i="1"/>
  <c r="P23" i="1" s="1"/>
  <c r="P22" i="1"/>
  <c r="O22" i="1"/>
  <c r="N22" i="1"/>
  <c r="R22" i="1" s="1"/>
  <c r="R21" i="1"/>
  <c r="Q21" i="1"/>
  <c r="P21" i="1"/>
  <c r="N21" i="1"/>
  <c r="O21" i="1" s="1"/>
  <c r="R20" i="1"/>
  <c r="O20" i="1"/>
  <c r="N20" i="1"/>
  <c r="Q20" i="1" s="1"/>
  <c r="R19" i="1"/>
  <c r="O19" i="1"/>
  <c r="N19" i="1"/>
  <c r="Q19" i="1" s="1"/>
  <c r="Q18" i="1"/>
  <c r="P18" i="1"/>
  <c r="O18" i="1"/>
  <c r="N18" i="1"/>
  <c r="R18" i="1" s="1"/>
  <c r="N17" i="1"/>
  <c r="R17" i="1" s="1"/>
  <c r="Q16" i="1"/>
  <c r="N16" i="1"/>
  <c r="P16" i="1" s="1"/>
  <c r="N15" i="1"/>
  <c r="P15" i="1" s="1"/>
  <c r="P14" i="1"/>
  <c r="O14" i="1"/>
  <c r="N14" i="1"/>
  <c r="R14" i="1" s="1"/>
  <c r="R13" i="1"/>
  <c r="Q13" i="1"/>
  <c r="P13" i="1"/>
  <c r="N13" i="1"/>
  <c r="O13" i="1" s="1"/>
  <c r="R12" i="1"/>
  <c r="O12" i="1"/>
  <c r="N12" i="1"/>
  <c r="Q12" i="1" s="1"/>
  <c r="R11" i="1"/>
  <c r="O11" i="1"/>
  <c r="N11" i="1"/>
  <c r="Q11" i="1" s="1"/>
  <c r="Q10" i="1"/>
  <c r="P10" i="1"/>
  <c r="O10" i="1"/>
  <c r="N10" i="1"/>
  <c r="R10" i="1" s="1"/>
  <c r="N9" i="1"/>
  <c r="R9" i="1" s="1"/>
  <c r="Q8" i="1"/>
  <c r="N8" i="1"/>
  <c r="P8" i="1" s="1"/>
  <c r="N7" i="1"/>
  <c r="P7" i="1" s="1"/>
  <c r="P6" i="1"/>
  <c r="N6" i="1"/>
  <c r="R6" i="1" s="1"/>
  <c r="R5" i="1"/>
  <c r="Q5" i="1"/>
  <c r="P5" i="1"/>
  <c r="N5" i="1"/>
  <c r="O5" i="1" s="1"/>
  <c r="R4" i="1"/>
  <c r="O4" i="1"/>
  <c r="N4" i="1"/>
  <c r="Q4" i="1" s="1"/>
  <c r="R3" i="1"/>
  <c r="O3" i="1"/>
  <c r="N3" i="1"/>
  <c r="Q3" i="1" s="1"/>
  <c r="Q2" i="1"/>
  <c r="P2" i="1"/>
  <c r="O2" i="1"/>
  <c r="N2" i="1"/>
  <c r="B26" i="3" s="1"/>
  <c r="C19" i="3" l="1"/>
  <c r="C15" i="3"/>
  <c r="C23" i="3"/>
  <c r="C22" i="3"/>
  <c r="C18" i="3"/>
  <c r="C14" i="3"/>
  <c r="C17" i="3"/>
  <c r="C25" i="3"/>
  <c r="C20" i="3"/>
  <c r="C21" i="3"/>
  <c r="C16" i="3"/>
  <c r="C24" i="3"/>
  <c r="O7" i="1"/>
  <c r="R8" i="1"/>
  <c r="O15" i="1"/>
  <c r="R16" i="1"/>
  <c r="O23" i="1"/>
  <c r="R24" i="1"/>
  <c r="O31" i="1"/>
  <c r="R32" i="1"/>
  <c r="O39" i="1"/>
  <c r="R40" i="1"/>
  <c r="O47" i="1"/>
  <c r="R48" i="1"/>
  <c r="P31" i="1"/>
  <c r="P47" i="1"/>
  <c r="N53" i="1"/>
  <c r="R2" i="1"/>
  <c r="P4" i="1"/>
  <c r="Q7" i="1"/>
  <c r="O9" i="1"/>
  <c r="P12" i="1"/>
  <c r="Q15" i="1"/>
  <c r="O17" i="1"/>
  <c r="P20" i="1"/>
  <c r="Q23" i="1"/>
  <c r="O25" i="1"/>
  <c r="P28" i="1"/>
  <c r="Q31" i="1"/>
  <c r="O33" i="1"/>
  <c r="P36" i="1"/>
  <c r="Q39" i="1"/>
  <c r="O41" i="1"/>
  <c r="P44" i="1"/>
  <c r="Q47" i="1"/>
  <c r="O49" i="1"/>
  <c r="P52" i="1"/>
  <c r="P39" i="1"/>
  <c r="O6" i="1"/>
  <c r="R7" i="1"/>
  <c r="P9" i="1"/>
  <c r="R15" i="1"/>
  <c r="P17" i="1"/>
  <c r="R23" i="1"/>
  <c r="P25" i="1"/>
  <c r="O30" i="1"/>
  <c r="P33" i="1"/>
  <c r="O38" i="1"/>
  <c r="P41" i="1"/>
  <c r="O46" i="1"/>
  <c r="P49" i="1"/>
  <c r="Q9" i="1"/>
  <c r="Q17" i="1"/>
  <c r="Q25" i="1"/>
  <c r="Q41" i="1"/>
  <c r="Q49" i="1"/>
  <c r="P3" i="1"/>
  <c r="Q6" i="1"/>
  <c r="O8" i="1"/>
  <c r="P11" i="1"/>
  <c r="Q14" i="1"/>
  <c r="O16" i="1"/>
  <c r="P19" i="1"/>
  <c r="Q22" i="1"/>
  <c r="O24" i="1"/>
  <c r="P27" i="1"/>
  <c r="Q30" i="1"/>
  <c r="O32" i="1"/>
  <c r="R33" i="1"/>
  <c r="P35" i="1"/>
  <c r="Q38" i="1"/>
  <c r="O40" i="1"/>
  <c r="Q46" i="1"/>
  <c r="O48" i="1"/>
</calcChain>
</file>

<file path=xl/sharedStrings.xml><?xml version="1.0" encoding="utf-8"?>
<sst xmlns="http://schemas.openxmlformats.org/spreadsheetml/2006/main" count="158" uniqueCount="93">
  <si>
    <t>Carlifornia Vs  other large states</t>
  </si>
  <si>
    <t>State</t>
  </si>
  <si>
    <t>California</t>
  </si>
  <si>
    <t>Florida</t>
  </si>
  <si>
    <t>New York</t>
  </si>
  <si>
    <t>Texas</t>
  </si>
  <si>
    <t>Total Vehicle per State</t>
  </si>
  <si>
    <t>Electric (EV)</t>
  </si>
  <si>
    <t>%EV Vehicles</t>
  </si>
  <si>
    <t>Top 3 Meaningful Presence</t>
  </si>
  <si>
    <t xml:space="preserve"> % </t>
  </si>
  <si>
    <t>total EV Vehicles</t>
  </si>
  <si>
    <t>(PHEV) Vehicles</t>
  </si>
  <si>
    <t>EV_pct_num</t>
  </si>
  <si>
    <t>Plug-In Hybrid Electric (PHEV)</t>
  </si>
  <si>
    <t>(HEV) Vehicles</t>
  </si>
  <si>
    <t>Hybrid Electric (HEV)</t>
  </si>
  <si>
    <t>Nevada</t>
  </si>
  <si>
    <t>Biodiesel</t>
  </si>
  <si>
    <t>Ethanol/Flex (E85)</t>
  </si>
  <si>
    <t>Compressed Natural Gas (CNG)</t>
  </si>
  <si>
    <t>Propane</t>
  </si>
  <si>
    <t>Hydrogen</t>
  </si>
  <si>
    <t>Biodiesel Vehicles</t>
  </si>
  <si>
    <t>Methanol</t>
  </si>
  <si>
    <t>Gasoline</t>
  </si>
  <si>
    <t>Diesel</t>
  </si>
  <si>
    <t>Unknown Fuel</t>
  </si>
  <si>
    <t>Washington</t>
  </si>
  <si>
    <t>Ethanol/Flex (E85) Vehicles</t>
  </si>
  <si>
    <t xml:space="preserve">%PHEV Vehicle </t>
  </si>
  <si>
    <t>Hawaii</t>
  </si>
  <si>
    <t>% HEV Vehicles</t>
  </si>
  <si>
    <t>% Gasoline Vehicles</t>
  </si>
  <si>
    <t>Compressed Natural Gas (CNG) Vehicles</t>
  </si>
  <si>
    <t>Alabama</t>
  </si>
  <si>
    <t>District of Columbia</t>
  </si>
  <si>
    <t>Propane Vehicles</t>
  </si>
  <si>
    <t>Hydrogen Vehicles</t>
  </si>
  <si>
    <t>Methanol Vehicles</t>
  </si>
  <si>
    <t>Gasoline Vehicles</t>
  </si>
  <si>
    <t>Diesel Vehicles</t>
  </si>
  <si>
    <t>Unknown Fuel Vehicles</t>
  </si>
  <si>
    <t>Total Overall Vehicles</t>
  </si>
  <si>
    <t>Alaska</t>
  </si>
  <si>
    <t>Arizona</t>
  </si>
  <si>
    <t>Arkansas</t>
  </si>
  <si>
    <t>Colorado</t>
  </si>
  <si>
    <t>Connecticut</t>
  </si>
  <si>
    <t>Delaware</t>
  </si>
  <si>
    <t>Georgia</t>
  </si>
  <si>
    <t>Project Dashboard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</si>
  <si>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</si>
  <si>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</si>
  <si>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</si>
  <si>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</si>
  <si>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</si>
  <si>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</si>
  <si>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</si>
  <si>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</si>
  <si>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</si>
  <si>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</si>
  <si>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</si>
  <si>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</si>
  <si>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</si>
  <si>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</si>
  <si>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</si>
  <si>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</si>
  <si>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New Hampshire</t>
  </si>
  <si>
    <t>New Jersey</t>
  </si>
  <si>
    <t>New Mexico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</si>
  <si>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</si>
  <si>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</si>
  <si>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</si>
  <si>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</si>
  <si>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</si>
  <si>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</si>
  <si>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</si>
  <si>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</si>
  <si>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</si>
  <si>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</si>
  <si>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Utah</t>
  </si>
  <si>
    <t>Vermont</t>
  </si>
  <si>
    <t>Virginia</t>
  </si>
  <si>
    <t>West Virginia</t>
  </si>
  <si>
    <t>Wisconsin</t>
  </si>
  <si>
    <t>Wyoming</t>
  </si>
  <si>
    <t>Row Labels</t>
  </si>
  <si>
    <t>Grand Total</t>
  </si>
  <si>
    <t>Sum of %EV Vehicles</t>
  </si>
  <si>
    <t xml:space="preserve">Sum of %PHEV Vehicle </t>
  </si>
  <si>
    <t>Sum of % HEV Vehicles</t>
  </si>
  <si>
    <t>Sum of % Gasoline Vehicles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</si>
</sst>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Arial"/>
      <scheme val="minor"/>
    </font>
    <font>
      <b/>
      <sz val="30"/>
      <color rgb="FFFFFFFF"/>
      <name val="Arial"/>
      <scheme val="minor"/>
    </font>
    <font>
      <sz val="10"/>
      <color theme="1"/>
      <name val="Arial"/>
      <scheme val="minor"/>
    </font>
    <font>
      <b/>
      <sz val="25"/>
      <color rgb="FFFFFFFF"/>
      <name val="Arial"/>
      <scheme val="minor"/>
    </font>
    <font>
      <sz val="40"/>
      <color rgb="FFFFFFFF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155CC"/>
        <bgColor rgb="FF1155CC"/>
      </patternFill>
    </fill>
    <fill>
      <patternFill patternType="solid">
        <fgColor rgb="FF3C78D8"/>
        <bgColor rgb="FF3C78D8"/>
      </patternFill>
    </fill>
    <fill>
      <patternFill patternType="solid">
        <fgColor theme="7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indexed="65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indexed="65"/>
      </top>
      <bottom/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45">
    <xf numFmtId="0" fontId="0" fillId="0" borderId="0" xfId="0" applyFont="1" applyAlignment="1"/>
    <xf numFmtId="0" fontId="2" fillId="0" borderId="0" xfId="0" applyFont="1" applyAlignment="1"/>
    <xf numFmtId="0" fontId="2" fillId="0" borderId="0" xfId="0" applyFont="1"/>
    <xf numFmtId="3" fontId="2" fillId="0" borderId="0" xfId="0" applyNumberFormat="1" applyFont="1"/>
    <xf numFmtId="3" fontId="2" fillId="0" borderId="0" xfId="0" applyNumberFormat="1" applyFont="1" applyAlignment="1"/>
    <xf numFmtId="0" fontId="2" fillId="0" borderId="0" xfId="0" applyFont="1" applyAlignment="1"/>
    <xf numFmtId="10" fontId="2" fillId="0" borderId="0" xfId="0" applyNumberFormat="1" applyFont="1" applyAlignment="1"/>
    <xf numFmtId="10" fontId="2" fillId="0" borderId="0" xfId="0" applyNumberFormat="1" applyFont="1"/>
    <xf numFmtId="3" fontId="2" fillId="0" borderId="0" xfId="0" applyNumberFormat="1" applyFont="1" applyAlignment="1"/>
    <xf numFmtId="10" fontId="2" fillId="0" borderId="0" xfId="0" applyNumberFormat="1" applyFont="1"/>
    <xf numFmtId="0" fontId="2" fillId="0" borderId="0" xfId="0" applyFont="1" applyAlignment="1">
      <alignment horizontal="left" vertical="center"/>
    </xf>
    <xf numFmtId="0" fontId="2" fillId="0" borderId="0" xfId="0" applyFont="1" applyAlignment="1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vertical="center"/>
    </xf>
    <xf numFmtId="10" fontId="2" fillId="0" borderId="0" xfId="0" applyNumberFormat="1" applyFont="1" applyAlignment="1">
      <alignment vertical="center"/>
    </xf>
    <xf numFmtId="10" fontId="2" fillId="0" borderId="0" xfId="0" applyNumberFormat="1" applyFont="1" applyAlignment="1">
      <alignment vertical="center"/>
    </xf>
    <xf numFmtId="10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4" borderId="0" xfId="0" applyFont="1" applyFill="1" applyAlignment="1">
      <alignment horizontal="left" vertical="center"/>
    </xf>
    <xf numFmtId="0" fontId="1" fillId="2" borderId="0" xfId="0" applyFont="1" applyFill="1" applyAlignment="1"/>
    <xf numFmtId="0" fontId="0" fillId="0" borderId="0" xfId="0" applyFont="1" applyAlignment="1"/>
    <xf numFmtId="0" fontId="3" fillId="2" borderId="0" xfId="0" applyFont="1" applyFill="1" applyAlignment="1"/>
    <xf numFmtId="0" fontId="4" fillId="3" borderId="0" xfId="0" applyFont="1" applyFill="1" applyAlignment="1">
      <alignment horizontal="center"/>
    </xf>
    <xf numFmtId="0" fontId="0" fillId="0" borderId="1" xfId="0" applyFont="1" applyBorder="1" applyAlignment="1"/>
    <xf numFmtId="0" fontId="0" fillId="0" borderId="1" xfId="0" pivotButton="1" applyFont="1" applyBorder="1" applyAlignment="1"/>
    <xf numFmtId="10" fontId="0" fillId="0" borderId="1" xfId="0" applyNumberFormat="1" applyFont="1" applyBorder="1" applyAlignment="1"/>
    <xf numFmtId="10" fontId="0" fillId="0" borderId="3" xfId="0" applyNumberFormat="1" applyFont="1" applyBorder="1" applyAlignment="1"/>
    <xf numFmtId="0" fontId="0" fillId="0" borderId="1" xfId="0" applyFont="1" applyBorder="1" applyAlignment="1">
      <alignment horizontal="left"/>
    </xf>
    <xf numFmtId="0" fontId="0" fillId="0" borderId="2" xfId="0" applyFont="1" applyBorder="1" applyAlignment="1">
      <alignment horizontal="left"/>
    </xf>
    <xf numFmtId="0" fontId="0" fillId="0" borderId="4" xfId="0" applyFont="1" applyBorder="1" applyAlignment="1">
      <alignment horizontal="left"/>
    </xf>
    <xf numFmtId="0" fontId="0" fillId="0" borderId="4" xfId="0" applyNumberFormat="1" applyFont="1" applyBorder="1" applyAlignment="1"/>
    <xf numFmtId="0" fontId="0" fillId="0" borderId="6" xfId="0" applyNumberFormat="1" applyFont="1" applyBorder="1" applyAlignment="1"/>
    <xf numFmtId="0" fontId="0" fillId="0" borderId="7" xfId="0" applyFont="1" applyBorder="1" applyAlignment="1"/>
    <xf numFmtId="0" fontId="0" fillId="0" borderId="9" xfId="0" applyNumberFormat="1" applyFont="1" applyBorder="1" applyAlignment="1"/>
    <xf numFmtId="0" fontId="0" fillId="0" borderId="3" xfId="0" applyFont="1" applyBorder="1" applyAlignment="1"/>
    <xf numFmtId="10" fontId="0" fillId="0" borderId="7" xfId="0" applyNumberFormat="1" applyFont="1" applyBorder="1" applyAlignment="1"/>
    <xf numFmtId="10" fontId="0" fillId="0" borderId="2" xfId="0" applyNumberFormat="1" applyFont="1" applyBorder="1" applyAlignment="1"/>
    <xf numFmtId="10" fontId="0" fillId="0" borderId="5" xfId="0" applyNumberFormat="1" applyFont="1" applyBorder="1" applyAlignment="1"/>
    <xf numFmtId="10" fontId="0" fillId="0" borderId="8" xfId="0" applyNumberFormat="1" applyFont="1" applyBorder="1" applyAlignment="1"/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3" formatCode="0%"/>
    </dxf>
    <dxf>
      <numFmt numFmtId="164" formatCode="0.0%"/>
    </dxf>
    <dxf>
      <numFmt numFmtId="14" formatCode="0.00%"/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indexed="64"/>
          <bgColor theme="7" tint="-0.249977111117893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D9D4"/>
          <bgColor rgb="FFCCD9D4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name="Vehicle Data.csv-style" pivot="0" count="5">
      <tableStyleElement type="wholeTable" size="0" dxfId="19"/>
      <tableStyleElement type="headerRow" dxfId="18"/>
      <tableStyleElement type="totalRow" dxfId="17"/>
      <tableStyleElement type="firstRowStripe" dxfId="16"/>
      <tableStyleElement type="secondRowStripe" dxfId="15"/>
    </tableStyle>
    <tableStyle name="Chart1 Top 5 States by % EV Veh-style" pivot="0" count="4">
      <tableStyleElement type="wholeTable" size="0" dxfId="14"/>
      <tableStyleElement type="headerRow" dxfId="13"/>
      <tableStyleElement type="firstRowStripe" dxfId="12"/>
      <tableStyleElement type="secondRowStripe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'Vehicle Data'!$O$1</c:f>
              <c:strCache>
                <c:ptCount val="1"/>
                <c:pt idx="0">
                  <c:v>%EV Vehicles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val>
            <c:numRef>
              <c:f>'Vehicle Data'!$O$2:$O$52</c:f>
              <c:numCache>
                <c:formatCode>0.00%</c:formatCode>
                <c:ptCount val="51"/>
                <c:pt idx="0">
                  <c:v>2.6882276308443104E-3</c:v>
                </c:pt>
                <c:pt idx="1">
                  <c:v>4.8231511254019296E-3</c:v>
                </c:pt>
                <c:pt idx="2">
                  <c:v>1.3754020523816817E-2</c:v>
                </c:pt>
                <c:pt idx="3">
                  <c:v>2.6215707270243328E-3</c:v>
                </c:pt>
                <c:pt idx="4">
                  <c:v>3.410012944263683E-2</c:v>
                </c:pt>
                <c:pt idx="5">
                  <c:v>1.6557021573743981E-2</c:v>
                </c:pt>
                <c:pt idx="6">
                  <c:v>1.072750110330312E-2</c:v>
                </c:pt>
                <c:pt idx="7">
                  <c:v>9.1833387996064289E-3</c:v>
                </c:pt>
                <c:pt idx="8">
                  <c:v>2.5953220121755848E-2</c:v>
                </c:pt>
                <c:pt idx="9">
                  <c:v>1.3716690343966593E-2</c:v>
                </c:pt>
                <c:pt idx="10">
                  <c:v>9.5826765120716837E-3</c:v>
                </c:pt>
                <c:pt idx="11">
                  <c:v>2.3701509119525972E-2</c:v>
                </c:pt>
                <c:pt idx="12">
                  <c:v>4.3046693001114146E-3</c:v>
                </c:pt>
                <c:pt idx="13">
                  <c:v>9.917157877967181E-3</c:v>
                </c:pt>
                <c:pt idx="14">
                  <c:v>4.2287065990505666E-3</c:v>
                </c:pt>
                <c:pt idx="15">
                  <c:v>2.8541527923128152E-3</c:v>
                </c:pt>
                <c:pt idx="16">
                  <c:v>4.311167067261837E-3</c:v>
                </c:pt>
                <c:pt idx="17">
                  <c:v>2.871500358937545E-3</c:v>
                </c:pt>
                <c:pt idx="18">
                  <c:v>2.1726458587250277E-3</c:v>
                </c:pt>
                <c:pt idx="19">
                  <c:v>5.9870550161812298E-3</c:v>
                </c:pt>
                <c:pt idx="20">
                  <c:v>1.424901185770751E-2</c:v>
                </c:pt>
                <c:pt idx="21">
                  <c:v>1.3439930068656554E-2</c:v>
                </c:pt>
                <c:pt idx="22">
                  <c:v>5.9000164215168788E-3</c:v>
                </c:pt>
                <c:pt idx="23">
                  <c:v>7.2482172511477974E-3</c:v>
                </c:pt>
                <c:pt idx="24">
                  <c:v>1.321925604964565E-3</c:v>
                </c:pt>
                <c:pt idx="25">
                  <c:v>4.7813722004976895E-3</c:v>
                </c:pt>
                <c:pt idx="26">
                  <c:v>4.50230008808848E-3</c:v>
                </c:pt>
                <c:pt idx="27">
                  <c:v>3.500405844155844E-3</c:v>
                </c:pt>
                <c:pt idx="28">
                  <c:v>1.8543875435233365E-2</c:v>
                </c:pt>
                <c:pt idx="29">
                  <c:v>7.1547300715473008E-3</c:v>
                </c:pt>
                <c:pt idx="30">
                  <c:v>1.8404991739599405E-2</c:v>
                </c:pt>
                <c:pt idx="31">
                  <c:v>5.2755582872362223E-3</c:v>
                </c:pt>
                <c:pt idx="32">
                  <c:v>1.1600374604633082E-2</c:v>
                </c:pt>
                <c:pt idx="33">
                  <c:v>7.7265973254086184E-3</c:v>
                </c:pt>
                <c:pt idx="34">
                  <c:v>1.2540757461750689E-3</c:v>
                </c:pt>
                <c:pt idx="35">
                  <c:v>4.8849989822918787E-3</c:v>
                </c:pt>
                <c:pt idx="36">
                  <c:v>5.3172881830266562E-3</c:v>
                </c:pt>
                <c:pt idx="37">
                  <c:v>1.6802776110835704E-2</c:v>
                </c:pt>
                <c:pt idx="38">
                  <c:v>6.8749387914993632E-3</c:v>
                </c:pt>
                <c:pt idx="39">
                  <c:v>7.2926162260711028E-3</c:v>
                </c:pt>
                <c:pt idx="40">
                  <c:v>4.1448516579406635E-3</c:v>
                </c:pt>
                <c:pt idx="41">
                  <c:v>1.8518518518518519E-3</c:v>
                </c:pt>
                <c:pt idx="42">
                  <c:v>5.0773842295222362E-3</c:v>
                </c:pt>
                <c:pt idx="43">
                  <c:v>8.9197801260631239E-3</c:v>
                </c:pt>
                <c:pt idx="44">
                  <c:v>1.3003055718093752E-2</c:v>
                </c:pt>
                <c:pt idx="45">
                  <c:v>1.3151239251390997E-2</c:v>
                </c:pt>
                <c:pt idx="46">
                  <c:v>1.0992425713730821E-2</c:v>
                </c:pt>
                <c:pt idx="47">
                  <c:v>2.2314813456375347E-2</c:v>
                </c:pt>
                <c:pt idx="48">
                  <c:v>1.8532000794228606E-3</c:v>
                </c:pt>
                <c:pt idx="49">
                  <c:v>4.5035268583830711E-3</c:v>
                </c:pt>
                <c:pt idx="50">
                  <c:v>1.6847909327615256E-3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CB-4A68-97EC-9B066099DC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9461306"/>
        <c:axId val="793430787"/>
      </c:barChart>
      <c:catAx>
        <c:axId val="76946130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93430787"/>
        <c:crosses val="autoZero"/>
        <c:auto val="1"/>
        <c:lblAlgn val="ctr"/>
        <c:lblOffset val="100"/>
        <c:noMultiLvlLbl val="1"/>
      </c:catAx>
      <c:valAx>
        <c:axId val="79343078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69461306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600" b="0">
                <a:solidFill>
                  <a:srgbClr val="444746"/>
                </a:solidFill>
                <a:latin typeface="+mn-lt"/>
              </a:defRPr>
            </a:pPr>
            <a:r>
              <a:rPr lang="en-GB" sz="1600" b="0">
                <a:solidFill>
                  <a:srgbClr val="444746"/>
                </a:solidFill>
                <a:latin typeface="+mn-lt"/>
              </a:rPr>
              <a:t>Top 5 States by % EV Vehicles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'Chart1 Top 5 States by % EV Veh'!$B$3</c:f>
              <c:strCache>
                <c:ptCount val="1"/>
                <c:pt idx="0">
                  <c:v>EV_pct_num</c:v>
                </c:pt>
              </c:strCache>
            </c:strRef>
          </c:tx>
          <c:spPr>
            <a:solidFill>
              <a:srgbClr val="2B5C8F"/>
            </a:solidFill>
            <a:ln cmpd="sng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'Chart1 Top 5 States by % EV Veh'!$A$4:$A$8</c:f>
              <c:strCache>
                <c:ptCount val="5"/>
                <c:pt idx="0">
                  <c:v>Nevada</c:v>
                </c:pt>
                <c:pt idx="1">
                  <c:v>Washington</c:v>
                </c:pt>
                <c:pt idx="2">
                  <c:v>Hawaii</c:v>
                </c:pt>
                <c:pt idx="3">
                  <c:v>District of Columbia</c:v>
                </c:pt>
                <c:pt idx="4">
                  <c:v>California</c:v>
                </c:pt>
              </c:strCache>
            </c:strRef>
          </c:cat>
          <c:val>
            <c:numRef>
              <c:f>'Chart1 Top 5 States by % EV Veh'!$B$4:$B$8</c:f>
              <c:numCache>
                <c:formatCode>General</c:formatCode>
                <c:ptCount val="5"/>
                <c:pt idx="0">
                  <c:v>1.85</c:v>
                </c:pt>
                <c:pt idx="1">
                  <c:v>2.23</c:v>
                </c:pt>
                <c:pt idx="2">
                  <c:v>2.37</c:v>
                </c:pt>
                <c:pt idx="3">
                  <c:v>2.6</c:v>
                </c:pt>
                <c:pt idx="4">
                  <c:v>3.41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82-4395-B9C2-7E2944DE22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309958"/>
        <c:axId val="1987250591"/>
      </c:barChart>
      <c:catAx>
        <c:axId val="20230995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State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87250591"/>
        <c:crosses val="autoZero"/>
        <c:auto val="1"/>
        <c:lblAlgn val="ctr"/>
        <c:lblOffset val="100"/>
        <c:noMultiLvlLbl val="1"/>
      </c:catAx>
      <c:valAx>
        <c:axId val="1987250591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%EV Vehicles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2309958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9.2345670447581713E-2"/>
          <c:y val="0.11138862642169729"/>
          <c:w val="0.51358331309907845"/>
          <c:h val="0.77722274715660544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3FD1-406D-8D90-B1DF0D867561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3FD1-406D-8D90-B1DF0D867561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3FD1-406D-8D90-B1DF0D867561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3FD1-406D-8D90-B1DF0D867561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3FD1-406D-8D90-B1DF0D867561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3FD1-406D-8D90-B1DF0D867561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3FD1-406D-8D90-B1DF0D867561}"/>
              </c:ext>
            </c:extLst>
          </c:dPt>
          <c:dPt>
            <c:idx val="7"/>
            <c:bubble3D val="0"/>
            <c:spPr>
              <a:solidFill>
                <a:srgbClr val="F07B72"/>
              </a:solidFill>
            </c:spPr>
            <c:extLst>
              <c:ext xmlns:c16="http://schemas.microsoft.com/office/drawing/2014/chart" uri="{C3380CC4-5D6E-409C-BE32-E72D297353CC}">
                <c16:uniqueId val="{0000000F-3FD1-406D-8D90-B1DF0D867561}"/>
              </c:ext>
            </c:extLst>
          </c:dPt>
          <c:dPt>
            <c:idx val="8"/>
            <c:bubble3D val="0"/>
            <c:spPr>
              <a:solidFill>
                <a:srgbClr val="FCD04F"/>
              </a:solidFill>
            </c:spPr>
            <c:extLst>
              <c:ext xmlns:c16="http://schemas.microsoft.com/office/drawing/2014/chart" uri="{C3380CC4-5D6E-409C-BE32-E72D297353CC}">
                <c16:uniqueId val="{00000011-3FD1-406D-8D90-B1DF0D867561}"/>
              </c:ext>
            </c:extLst>
          </c:dPt>
          <c:dPt>
            <c:idx val="9"/>
            <c:bubble3D val="0"/>
            <c:spPr>
              <a:solidFill>
                <a:srgbClr val="71C287"/>
              </a:solidFill>
            </c:spPr>
            <c:extLst>
              <c:ext xmlns:c16="http://schemas.microsoft.com/office/drawing/2014/chart" uri="{C3380CC4-5D6E-409C-BE32-E72D297353CC}">
                <c16:uniqueId val="{00000013-3FD1-406D-8D90-B1DF0D867561}"/>
              </c:ext>
            </c:extLst>
          </c:dPt>
          <c:dPt>
            <c:idx val="10"/>
            <c:bubble3D val="0"/>
            <c:spPr>
              <a:solidFill>
                <a:srgbClr val="FF994D"/>
              </a:solidFill>
            </c:spPr>
            <c:extLst>
              <c:ext xmlns:c16="http://schemas.microsoft.com/office/drawing/2014/chart" uri="{C3380CC4-5D6E-409C-BE32-E72D297353CC}">
                <c16:uniqueId val="{00000015-3FD1-406D-8D90-B1DF0D867561}"/>
              </c:ext>
            </c:extLst>
          </c:dPt>
          <c:dPt>
            <c:idx val="11"/>
            <c:bubble3D val="0"/>
            <c:spPr>
              <a:solidFill>
                <a:srgbClr val="7ED1D7"/>
              </a:solidFill>
            </c:spPr>
            <c:extLst>
              <c:ext xmlns:c16="http://schemas.microsoft.com/office/drawing/2014/chart" uri="{C3380CC4-5D6E-409C-BE32-E72D297353CC}">
                <c16:uniqueId val="{00000017-3FD1-406D-8D90-B1DF0D867561}"/>
              </c:ext>
            </c:extLst>
          </c:dPt>
          <c:dPt>
            <c:idx val="12"/>
            <c:bubble3D val="0"/>
            <c:spPr>
              <a:solidFill>
                <a:srgbClr val="B3CEFB"/>
              </a:solidFill>
            </c:spPr>
            <c:extLst>
              <c:ext xmlns:c16="http://schemas.microsoft.com/office/drawing/2014/chart" uri="{C3380CC4-5D6E-409C-BE32-E72D297353CC}">
                <c16:uniqueId val="{00000019-3FD1-406D-8D90-B1DF0D867561}"/>
              </c:ext>
            </c:extLst>
          </c:dPt>
          <c:dPt>
            <c:idx val="13"/>
            <c:bubble3D val="0"/>
            <c:spPr>
              <a:solidFill>
                <a:srgbClr val="F7B4AE"/>
              </a:solidFill>
            </c:spPr>
            <c:extLst>
              <c:ext xmlns:c16="http://schemas.microsoft.com/office/drawing/2014/chart" uri="{C3380CC4-5D6E-409C-BE32-E72D297353CC}">
                <c16:uniqueId val="{0000001B-3FD1-406D-8D90-B1DF0D867561}"/>
              </c:ext>
            </c:extLst>
          </c:dPt>
          <c:dPt>
            <c:idx val="14"/>
            <c:bubble3D val="0"/>
            <c:spPr>
              <a:solidFill>
                <a:srgbClr val="FDE49B"/>
              </a:solidFill>
            </c:spPr>
            <c:extLst>
              <c:ext xmlns:c16="http://schemas.microsoft.com/office/drawing/2014/chart" uri="{C3380CC4-5D6E-409C-BE32-E72D297353CC}">
                <c16:uniqueId val="{0000001D-3FD1-406D-8D90-B1DF0D867561}"/>
              </c:ext>
            </c:extLst>
          </c:dPt>
          <c:dPt>
            <c:idx val="15"/>
            <c:bubble3D val="0"/>
            <c:spPr>
              <a:solidFill>
                <a:srgbClr val="AEDCBA"/>
              </a:solidFill>
            </c:spPr>
            <c:extLst>
              <c:ext xmlns:c16="http://schemas.microsoft.com/office/drawing/2014/chart" uri="{C3380CC4-5D6E-409C-BE32-E72D297353CC}">
                <c16:uniqueId val="{0000001F-3FD1-406D-8D90-B1DF0D867561}"/>
              </c:ext>
            </c:extLst>
          </c:dPt>
          <c:dPt>
            <c:idx val="16"/>
            <c:bubble3D val="0"/>
            <c:spPr>
              <a:solidFill>
                <a:srgbClr val="FFC599"/>
              </a:solidFill>
            </c:spPr>
            <c:extLst>
              <c:ext xmlns:c16="http://schemas.microsoft.com/office/drawing/2014/chart" uri="{C3380CC4-5D6E-409C-BE32-E72D297353CC}">
                <c16:uniqueId val="{00000021-3FD1-406D-8D90-B1DF0D867561}"/>
              </c:ext>
            </c:extLst>
          </c:dPt>
          <c:dPt>
            <c:idx val="17"/>
            <c:bubble3D val="0"/>
            <c:spPr>
              <a:solidFill>
                <a:srgbClr val="B5E5E8"/>
              </a:solidFill>
            </c:spPr>
            <c:extLst>
              <c:ext xmlns:c16="http://schemas.microsoft.com/office/drawing/2014/chart" uri="{C3380CC4-5D6E-409C-BE32-E72D297353CC}">
                <c16:uniqueId val="{00000023-3FD1-406D-8D90-B1DF0D867561}"/>
              </c:ext>
            </c:extLst>
          </c:dPt>
          <c:dPt>
            <c:idx val="18"/>
            <c:bubble3D val="0"/>
            <c:spPr>
              <a:solidFill>
                <a:srgbClr val="ECF3FE"/>
              </a:solidFill>
            </c:spPr>
            <c:extLst>
              <c:ext xmlns:c16="http://schemas.microsoft.com/office/drawing/2014/chart" uri="{C3380CC4-5D6E-409C-BE32-E72D297353CC}">
                <c16:uniqueId val="{00000025-3FD1-406D-8D90-B1DF0D867561}"/>
              </c:ext>
            </c:extLst>
          </c:dPt>
          <c:dPt>
            <c:idx val="19"/>
            <c:bubble3D val="0"/>
            <c:spPr>
              <a:solidFill>
                <a:srgbClr val="FDECEB"/>
              </a:solidFill>
            </c:spPr>
            <c:extLst>
              <c:ext xmlns:c16="http://schemas.microsoft.com/office/drawing/2014/chart" uri="{C3380CC4-5D6E-409C-BE32-E72D297353CC}">
                <c16:uniqueId val="{00000027-3FD1-406D-8D90-B1DF0D867561}"/>
              </c:ext>
            </c:extLst>
          </c:dPt>
          <c:dPt>
            <c:idx val="20"/>
            <c:bubble3D val="0"/>
            <c:spPr>
              <a:solidFill>
                <a:srgbClr val="FFF8E6"/>
              </a:solidFill>
            </c:spPr>
            <c:extLst>
              <c:ext xmlns:c16="http://schemas.microsoft.com/office/drawing/2014/chart" uri="{C3380CC4-5D6E-409C-BE32-E72D297353CC}">
                <c16:uniqueId val="{00000029-3FD1-406D-8D90-B1DF0D867561}"/>
              </c:ext>
            </c:extLst>
          </c:dPt>
          <c:dPt>
            <c:idx val="21"/>
            <c:bubble3D val="0"/>
            <c:spPr>
              <a:solidFill>
                <a:srgbClr val="EBF6EE"/>
              </a:solidFill>
            </c:spPr>
            <c:extLst>
              <c:ext xmlns:c16="http://schemas.microsoft.com/office/drawing/2014/chart" uri="{C3380CC4-5D6E-409C-BE32-E72D297353CC}">
                <c16:uniqueId val="{0000002B-3FD1-406D-8D90-B1DF0D867561}"/>
              </c:ext>
            </c:extLst>
          </c:dPt>
          <c:dPt>
            <c:idx val="22"/>
            <c:bubble3D val="0"/>
            <c:spPr>
              <a:solidFill>
                <a:srgbClr val="FFF0E6"/>
              </a:solidFill>
            </c:spPr>
            <c:extLst>
              <c:ext xmlns:c16="http://schemas.microsoft.com/office/drawing/2014/chart" uri="{C3380CC4-5D6E-409C-BE32-E72D297353CC}">
                <c16:uniqueId val="{0000002D-3FD1-406D-8D90-B1DF0D867561}"/>
              </c:ext>
            </c:extLst>
          </c:dPt>
          <c:dPt>
            <c:idx val="23"/>
            <c:bubble3D val="0"/>
            <c:spPr>
              <a:solidFill>
                <a:srgbClr val="EDF8F9"/>
              </a:solidFill>
            </c:spPr>
            <c:extLst>
              <c:ext xmlns:c16="http://schemas.microsoft.com/office/drawing/2014/chart" uri="{C3380CC4-5D6E-409C-BE32-E72D297353CC}">
                <c16:uniqueId val="{0000002F-3FD1-406D-8D90-B1DF0D867561}"/>
              </c:ext>
            </c:extLst>
          </c:dPt>
          <c:dPt>
            <c:idx val="24"/>
            <c:bubble3D val="0"/>
            <c:spPr>
              <a:solidFill>
                <a:srgbClr val="251701"/>
              </a:solidFill>
            </c:spPr>
            <c:extLst>
              <c:ext xmlns:c16="http://schemas.microsoft.com/office/drawing/2014/chart" uri="{C3380CC4-5D6E-409C-BE32-E72D297353CC}">
                <c16:uniqueId val="{00000031-3FD1-406D-8D90-B1DF0D867561}"/>
              </c:ext>
            </c:extLst>
          </c:dPt>
          <c:dPt>
            <c:idx val="25"/>
            <c:bubble3D val="0"/>
            <c:spPr>
              <a:solidFill>
                <a:srgbClr val="032527"/>
              </a:solidFill>
            </c:spPr>
            <c:extLst>
              <c:ext xmlns:c16="http://schemas.microsoft.com/office/drawing/2014/chart" uri="{C3380CC4-5D6E-409C-BE32-E72D297353CC}">
                <c16:uniqueId val="{00000033-3FD1-406D-8D90-B1DF0D867561}"/>
              </c:ext>
            </c:extLst>
          </c:dPt>
          <c:dPt>
            <c:idx val="26"/>
            <c:bubble3D val="0"/>
            <c:spPr>
              <a:solidFill>
                <a:srgbClr val="000C31"/>
              </a:solidFill>
            </c:spPr>
            <c:extLst>
              <c:ext xmlns:c16="http://schemas.microsoft.com/office/drawing/2014/chart" uri="{C3380CC4-5D6E-409C-BE32-E72D297353CC}">
                <c16:uniqueId val="{00000035-3FD1-406D-8D90-B1DF0D867561}"/>
              </c:ext>
            </c:extLst>
          </c:dPt>
          <c:dPt>
            <c:idx val="27"/>
            <c:bubble3D val="0"/>
            <c:spPr>
              <a:solidFill>
                <a:srgbClr val="281021"/>
              </a:solidFill>
            </c:spPr>
            <c:extLst>
              <c:ext xmlns:c16="http://schemas.microsoft.com/office/drawing/2014/chart" uri="{C3380CC4-5D6E-409C-BE32-E72D297353CC}">
                <c16:uniqueId val="{00000037-3FD1-406D-8D90-B1DF0D867561}"/>
              </c:ext>
            </c:extLst>
          </c:dPt>
          <c:dPt>
            <c:idx val="28"/>
            <c:bubble3D val="0"/>
            <c:spPr>
              <a:solidFill>
                <a:srgbClr val="FF1C32"/>
              </a:solidFill>
            </c:spPr>
            <c:extLst>
              <c:ext xmlns:c16="http://schemas.microsoft.com/office/drawing/2014/chart" uri="{C3380CC4-5D6E-409C-BE32-E72D297353CC}">
                <c16:uniqueId val="{00000039-3FD1-406D-8D90-B1DF0D867561}"/>
              </c:ext>
            </c:extLst>
          </c:dPt>
          <c:dPt>
            <c:idx val="29"/>
            <c:bubble3D val="0"/>
            <c:spPr>
              <a:solidFill>
                <a:srgbClr val="240C0A"/>
              </a:solidFill>
            </c:spPr>
            <c:extLst>
              <c:ext xmlns:c16="http://schemas.microsoft.com/office/drawing/2014/chart" uri="{C3380CC4-5D6E-409C-BE32-E72D297353CC}">
                <c16:uniqueId val="{0000003B-3FD1-406D-8D90-B1DF0D867561}"/>
              </c:ext>
            </c:extLst>
          </c:dPt>
          <c:dPt>
            <c:idx val="30"/>
            <c:bubble3D val="0"/>
            <c:spPr>
              <a:solidFill>
                <a:srgbClr val="5E3C05"/>
              </a:solidFill>
            </c:spPr>
            <c:extLst>
              <c:ext xmlns:c16="http://schemas.microsoft.com/office/drawing/2014/chart" uri="{C3380CC4-5D6E-409C-BE32-E72D297353CC}">
                <c16:uniqueId val="{0000003D-3FD1-406D-8D90-B1DF0D867561}"/>
              </c:ext>
            </c:extLst>
          </c:dPt>
          <c:dPt>
            <c:idx val="31"/>
            <c:bubble3D val="0"/>
            <c:spPr>
              <a:solidFill>
                <a:srgbClr val="0A5D64"/>
              </a:solidFill>
            </c:spPr>
            <c:extLst>
              <c:ext xmlns:c16="http://schemas.microsoft.com/office/drawing/2014/chart" uri="{C3380CC4-5D6E-409C-BE32-E72D297353CC}">
                <c16:uniqueId val="{0000003F-3FD1-406D-8D90-B1DF0D867561}"/>
              </c:ext>
            </c:extLst>
          </c:dPt>
          <c:dPt>
            <c:idx val="32"/>
            <c:bubble3D val="0"/>
            <c:spPr>
              <a:solidFill>
                <a:srgbClr val="01217D"/>
              </a:solidFill>
            </c:spPr>
            <c:extLst>
              <c:ext xmlns:c16="http://schemas.microsoft.com/office/drawing/2014/chart" uri="{C3380CC4-5D6E-409C-BE32-E72D297353CC}">
                <c16:uniqueId val="{00000041-3FD1-406D-8D90-B1DF0D867561}"/>
              </c:ext>
            </c:extLst>
          </c:dPt>
          <c:dPt>
            <c:idx val="33"/>
            <c:bubble3D val="0"/>
            <c:spPr>
              <a:solidFill>
                <a:srgbClr val="652B55"/>
              </a:solidFill>
            </c:spPr>
            <c:extLst>
              <c:ext xmlns:c16="http://schemas.microsoft.com/office/drawing/2014/chart" uri="{C3380CC4-5D6E-409C-BE32-E72D297353CC}">
                <c16:uniqueId val="{00000043-3FD1-406D-8D90-B1DF0D867561}"/>
              </c:ext>
            </c:extLst>
          </c:dPt>
          <c:dPt>
            <c:idx val="34"/>
            <c:bubble3D val="0"/>
            <c:spPr>
              <a:solidFill>
                <a:srgbClr val="FF487E"/>
              </a:solidFill>
            </c:spPr>
            <c:extLst>
              <c:ext xmlns:c16="http://schemas.microsoft.com/office/drawing/2014/chart" uri="{C3380CC4-5D6E-409C-BE32-E72D297353CC}">
                <c16:uniqueId val="{00000045-3FD1-406D-8D90-B1DF0D867561}"/>
              </c:ext>
            </c:extLst>
          </c:dPt>
          <c:dPt>
            <c:idx val="35"/>
            <c:bubble3D val="0"/>
            <c:spPr>
              <a:solidFill>
                <a:srgbClr val="5C201C"/>
              </a:solidFill>
            </c:spPr>
            <c:extLst>
              <c:ext xmlns:c16="http://schemas.microsoft.com/office/drawing/2014/chart" uri="{C3380CC4-5D6E-409C-BE32-E72D297353CC}">
                <c16:uniqueId val="{00000047-3FD1-406D-8D90-B1DF0D867561}"/>
              </c:ext>
            </c:extLst>
          </c:dPt>
          <c:dPt>
            <c:idx val="36"/>
            <c:bubble3D val="0"/>
            <c:spPr>
              <a:solidFill>
                <a:srgbClr val="966108"/>
              </a:solidFill>
            </c:spPr>
            <c:extLst>
              <c:ext xmlns:c16="http://schemas.microsoft.com/office/drawing/2014/chart" uri="{C3380CC4-5D6E-409C-BE32-E72D297353CC}">
                <c16:uniqueId val="{00000049-3FD1-406D-8D90-B1DF0D867561}"/>
              </c:ext>
            </c:extLst>
          </c:dPt>
          <c:dPt>
            <c:idx val="37"/>
            <c:bubble3D val="0"/>
            <c:spPr>
              <a:solidFill>
                <a:srgbClr val="1095A1"/>
              </a:solidFill>
            </c:spPr>
            <c:extLst>
              <c:ext xmlns:c16="http://schemas.microsoft.com/office/drawing/2014/chart" uri="{C3380CC4-5D6E-409C-BE32-E72D297353CC}">
                <c16:uniqueId val="{0000004B-3FD1-406D-8D90-B1DF0D867561}"/>
              </c:ext>
            </c:extLst>
          </c:dPt>
          <c:dPt>
            <c:idx val="38"/>
            <c:bubble3D val="0"/>
            <c:spPr>
              <a:solidFill>
                <a:srgbClr val="0235C8"/>
              </a:solidFill>
            </c:spPr>
            <c:extLst>
              <c:ext xmlns:c16="http://schemas.microsoft.com/office/drawing/2014/chart" uri="{C3380CC4-5D6E-409C-BE32-E72D297353CC}">
                <c16:uniqueId val="{0000004D-3FD1-406D-8D90-B1DF0D867561}"/>
              </c:ext>
            </c:extLst>
          </c:dPt>
          <c:dPt>
            <c:idx val="39"/>
            <c:bubble3D val="0"/>
            <c:spPr>
              <a:solidFill>
                <a:srgbClr val="A14589"/>
              </a:solidFill>
            </c:spPr>
            <c:extLst>
              <c:ext xmlns:c16="http://schemas.microsoft.com/office/drawing/2014/chart" uri="{C3380CC4-5D6E-409C-BE32-E72D297353CC}">
                <c16:uniqueId val="{0000004F-3FD1-406D-8D90-B1DF0D867561}"/>
              </c:ext>
            </c:extLst>
          </c:dPt>
          <c:dPt>
            <c:idx val="40"/>
            <c:bubble3D val="0"/>
            <c:spPr>
              <a:solidFill>
                <a:srgbClr val="FF74CA"/>
              </a:solidFill>
            </c:spPr>
            <c:extLst>
              <c:ext xmlns:c16="http://schemas.microsoft.com/office/drawing/2014/chart" uri="{C3380CC4-5D6E-409C-BE32-E72D297353CC}">
                <c16:uniqueId val="{00000051-3FD1-406D-8D90-B1DF0D867561}"/>
              </c:ext>
            </c:extLst>
          </c:dPt>
          <c:dPt>
            <c:idx val="41"/>
            <c:bubble3D val="0"/>
            <c:spPr>
              <a:solidFill>
                <a:srgbClr val="93342D"/>
              </a:solidFill>
            </c:spPr>
            <c:extLst>
              <c:ext xmlns:c16="http://schemas.microsoft.com/office/drawing/2014/chart" uri="{C3380CC4-5D6E-409C-BE32-E72D297353CC}">
                <c16:uniqueId val="{00000053-3FD1-406D-8D90-B1DF0D867561}"/>
              </c:ext>
            </c:extLst>
          </c:dPt>
          <c:dPt>
            <c:idx val="42"/>
            <c:bubble3D val="0"/>
            <c:spPr>
              <a:solidFill>
                <a:srgbClr val="CF850B"/>
              </a:solidFill>
            </c:spPr>
            <c:extLst>
              <c:ext xmlns:c16="http://schemas.microsoft.com/office/drawing/2014/chart" uri="{C3380CC4-5D6E-409C-BE32-E72D297353CC}">
                <c16:uniqueId val="{00000055-3FD1-406D-8D90-B1DF0D867561}"/>
              </c:ext>
            </c:extLst>
          </c:dPt>
          <c:dPt>
            <c:idx val="43"/>
            <c:bubble3D val="0"/>
            <c:spPr>
              <a:solidFill>
                <a:srgbClr val="16CEDD"/>
              </a:solidFill>
            </c:spPr>
            <c:extLst>
              <c:ext xmlns:c16="http://schemas.microsoft.com/office/drawing/2014/chart" uri="{C3380CC4-5D6E-409C-BE32-E72D297353CC}">
                <c16:uniqueId val="{00000057-3FD1-406D-8D90-B1DF0D867561}"/>
              </c:ext>
            </c:extLst>
          </c:dPt>
          <c:dPt>
            <c:idx val="44"/>
            <c:bubble3D val="0"/>
            <c:spPr>
              <a:solidFill>
                <a:srgbClr val="034913"/>
              </a:solidFill>
            </c:spPr>
            <c:extLst>
              <c:ext xmlns:c16="http://schemas.microsoft.com/office/drawing/2014/chart" uri="{C3380CC4-5D6E-409C-BE32-E72D297353CC}">
                <c16:uniqueId val="{00000059-3FD1-406D-8D90-B1DF0D867561}"/>
              </c:ext>
            </c:extLst>
          </c:dPt>
          <c:dPt>
            <c:idx val="45"/>
            <c:bubble3D val="0"/>
            <c:spPr>
              <a:solidFill>
                <a:srgbClr val="DE5FBC"/>
              </a:solidFill>
            </c:spPr>
            <c:extLst>
              <c:ext xmlns:c16="http://schemas.microsoft.com/office/drawing/2014/chart" uri="{C3380CC4-5D6E-409C-BE32-E72D297353CC}">
                <c16:uniqueId val="{0000005B-3FD1-406D-8D90-B1DF0D867561}"/>
              </c:ext>
            </c:extLst>
          </c:dPt>
          <c:dPt>
            <c:idx val="46"/>
            <c:bubble3D val="0"/>
            <c:spPr>
              <a:solidFill>
                <a:srgbClr val="FFA016"/>
              </a:solidFill>
            </c:spPr>
            <c:extLst>
              <c:ext xmlns:c16="http://schemas.microsoft.com/office/drawing/2014/chart" uri="{C3380CC4-5D6E-409C-BE32-E72D297353CC}">
                <c16:uniqueId val="{0000005D-3FD1-406D-8D90-B1DF0D867561}"/>
              </c:ext>
            </c:extLst>
          </c:dPt>
          <c:dPt>
            <c:idx val="47"/>
            <c:bubble3D val="0"/>
            <c:spPr>
              <a:solidFill>
                <a:srgbClr val="CA483E"/>
              </a:solidFill>
            </c:spPr>
            <c:extLst>
              <c:ext xmlns:c16="http://schemas.microsoft.com/office/drawing/2014/chart" uri="{C3380CC4-5D6E-409C-BE32-E72D297353CC}">
                <c16:uniqueId val="{0000005F-3FD1-406D-8D90-B1DF0D867561}"/>
              </c:ext>
            </c:extLst>
          </c:dPt>
          <c:dPt>
            <c:idx val="48"/>
            <c:bubble3D val="0"/>
            <c:spPr>
              <a:solidFill>
                <a:srgbClr val="08AA0E"/>
              </a:solidFill>
            </c:spPr>
            <c:extLst>
              <c:ext xmlns:c16="http://schemas.microsoft.com/office/drawing/2014/chart" uri="{C3380CC4-5D6E-409C-BE32-E72D297353CC}">
                <c16:uniqueId val="{00000061-3FD1-406D-8D90-B1DF0D867561}"/>
              </c:ext>
            </c:extLst>
          </c:dPt>
          <c:dPt>
            <c:idx val="49"/>
            <c:bubble3D val="0"/>
            <c:spPr>
              <a:solidFill>
                <a:srgbClr val="1C061A"/>
              </a:solidFill>
            </c:spPr>
            <c:extLst>
              <c:ext xmlns:c16="http://schemas.microsoft.com/office/drawing/2014/chart" uri="{C3380CC4-5D6E-409C-BE32-E72D297353CC}">
                <c16:uniqueId val="{00000063-3FD1-406D-8D90-B1DF0D867561}"/>
              </c:ext>
            </c:extLst>
          </c:dPt>
          <c:dPt>
            <c:idx val="50"/>
            <c:bubble3D val="0"/>
            <c:spPr>
              <a:solidFill>
                <a:srgbClr val="055D5E"/>
              </a:solidFill>
            </c:spPr>
            <c:extLst>
              <c:ext xmlns:c16="http://schemas.microsoft.com/office/drawing/2014/chart" uri="{C3380CC4-5D6E-409C-BE32-E72D297353CC}">
                <c16:uniqueId val="{00000065-3FD1-406D-8D90-B1DF0D867561}"/>
              </c:ext>
            </c:extLst>
          </c:dPt>
          <c:dLbls>
            <c:dLbl>
              <c:idx val="32"/>
              <c:spPr/>
              <c:txPr>
                <a:bodyPr/>
                <a:lstStyle/>
                <a:p>
                  <a:pPr lvl="0">
                    <a:defRPr>
                      <a:solidFill>
                        <a:srgbClr val="FFFFFF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41-3FD1-406D-8D90-B1DF0D86756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'Vehicle Data'!$A$2:$A$52</c:f>
              <c:strCache>
                <c:ptCount val="51"/>
                <c:pt idx="0">
                  <c:v>Alabama</c:v>
                </c:pt>
                <c:pt idx="1">
                  <c:v>Alaska</c:v>
                </c:pt>
                <c:pt idx="2">
                  <c:v>Arizona</c:v>
                </c:pt>
                <c:pt idx="3">
                  <c:v>Arkansas</c:v>
                </c:pt>
                <c:pt idx="4">
                  <c:v>California</c:v>
                </c:pt>
                <c:pt idx="5">
                  <c:v>Colorado</c:v>
                </c:pt>
                <c:pt idx="6">
                  <c:v>Connecticut</c:v>
                </c:pt>
                <c:pt idx="7">
                  <c:v>Delaware</c:v>
                </c:pt>
                <c:pt idx="8">
                  <c:v>District of Columbia</c:v>
                </c:pt>
                <c:pt idx="9">
                  <c:v>Florida</c:v>
                </c:pt>
                <c:pt idx="10">
                  <c:v>Georgia</c:v>
                </c:pt>
                <c:pt idx="11">
                  <c:v>Hawaii</c:v>
                </c:pt>
                <c:pt idx="12">
                  <c:v>Idaho</c:v>
                </c:pt>
                <c:pt idx="13">
                  <c:v>Illinois</c:v>
                </c:pt>
                <c:pt idx="14">
                  <c:v>Indiana</c:v>
                </c:pt>
                <c:pt idx="15">
                  <c:v>Iowa</c:v>
                </c:pt>
                <c:pt idx="16">
                  <c:v>Kansas</c:v>
                </c:pt>
                <c:pt idx="17">
                  <c:v>Kentucky</c:v>
                </c:pt>
                <c:pt idx="18">
                  <c:v>Louisiana</c:v>
                </c:pt>
                <c:pt idx="19">
                  <c:v>Maine</c:v>
                </c:pt>
                <c:pt idx="20">
                  <c:v>Maryland</c:v>
                </c:pt>
                <c:pt idx="21">
                  <c:v>Massachusetts</c:v>
                </c:pt>
                <c:pt idx="22">
                  <c:v>Michigan</c:v>
                </c:pt>
                <c:pt idx="23">
                  <c:v>Minnesota</c:v>
                </c:pt>
                <c:pt idx="24">
                  <c:v>Mississippi</c:v>
                </c:pt>
                <c:pt idx="25">
                  <c:v>Missouri</c:v>
                </c:pt>
                <c:pt idx="26">
                  <c:v>Montana</c:v>
                </c:pt>
                <c:pt idx="27">
                  <c:v>Nebraska</c:v>
                </c:pt>
                <c:pt idx="28">
                  <c:v>Nevada</c:v>
                </c:pt>
                <c:pt idx="29">
                  <c:v>New Hampshire</c:v>
                </c:pt>
                <c:pt idx="30">
                  <c:v>New Jersey</c:v>
                </c:pt>
                <c:pt idx="31">
                  <c:v>New Mexico</c:v>
                </c:pt>
                <c:pt idx="32">
                  <c:v>New York</c:v>
                </c:pt>
                <c:pt idx="33">
                  <c:v>North Carolina</c:v>
                </c:pt>
                <c:pt idx="34">
                  <c:v>North Dakota</c:v>
                </c:pt>
                <c:pt idx="35">
                  <c:v>Ohio</c:v>
                </c:pt>
                <c:pt idx="36">
                  <c:v>Oklahoma</c:v>
                </c:pt>
                <c:pt idx="37">
                  <c:v>Oregon</c:v>
                </c:pt>
                <c:pt idx="38">
                  <c:v>Pennsylvania</c:v>
                </c:pt>
                <c:pt idx="39">
                  <c:v>Rhode Island</c:v>
                </c:pt>
                <c:pt idx="40">
                  <c:v>South Carolina</c:v>
                </c:pt>
                <c:pt idx="41">
                  <c:v>South Dakota</c:v>
                </c:pt>
                <c:pt idx="42">
                  <c:v>Tennessee</c:v>
                </c:pt>
                <c:pt idx="43">
                  <c:v>Texas</c:v>
                </c:pt>
                <c:pt idx="44">
                  <c:v>Utah</c:v>
                </c:pt>
                <c:pt idx="45">
                  <c:v>Vermont</c:v>
                </c:pt>
                <c:pt idx="46">
                  <c:v>Virginia</c:v>
                </c:pt>
                <c:pt idx="47">
                  <c:v>Washington</c:v>
                </c:pt>
                <c:pt idx="48">
                  <c:v>West Virginia</c:v>
                </c:pt>
                <c:pt idx="49">
                  <c:v>Wisconsin</c:v>
                </c:pt>
                <c:pt idx="50">
                  <c:v>Wyoming</c:v>
                </c:pt>
              </c:strCache>
            </c:strRef>
          </c:cat>
          <c:val>
            <c:numRef>
              <c:f>'Vehicle Data'!$B$2:$B$52</c:f>
              <c:numCache>
                <c:formatCode>#,##0</c:formatCode>
                <c:ptCount val="51"/>
                <c:pt idx="0">
                  <c:v>13000</c:v>
                </c:pt>
                <c:pt idx="1">
                  <c:v>2700</c:v>
                </c:pt>
                <c:pt idx="2">
                  <c:v>89800</c:v>
                </c:pt>
                <c:pt idx="3">
                  <c:v>7100</c:v>
                </c:pt>
                <c:pt idx="4">
                  <c:v>1256600</c:v>
                </c:pt>
                <c:pt idx="5">
                  <c:v>90100</c:v>
                </c:pt>
                <c:pt idx="6">
                  <c:v>31600</c:v>
                </c:pt>
                <c:pt idx="7">
                  <c:v>8400</c:v>
                </c:pt>
                <c:pt idx="8">
                  <c:v>8100</c:v>
                </c:pt>
                <c:pt idx="9">
                  <c:v>254900</c:v>
                </c:pt>
                <c:pt idx="10">
                  <c:v>92400</c:v>
                </c:pt>
                <c:pt idx="11">
                  <c:v>25600</c:v>
                </c:pt>
                <c:pt idx="12">
                  <c:v>8500</c:v>
                </c:pt>
                <c:pt idx="13">
                  <c:v>99600</c:v>
                </c:pt>
                <c:pt idx="14">
                  <c:v>26100</c:v>
                </c:pt>
                <c:pt idx="15">
                  <c:v>9000</c:v>
                </c:pt>
                <c:pt idx="16">
                  <c:v>11300</c:v>
                </c:pt>
                <c:pt idx="17">
                  <c:v>11600</c:v>
                </c:pt>
                <c:pt idx="18">
                  <c:v>8200</c:v>
                </c:pt>
                <c:pt idx="19">
                  <c:v>7400</c:v>
                </c:pt>
                <c:pt idx="20">
                  <c:v>72100</c:v>
                </c:pt>
                <c:pt idx="21">
                  <c:v>73800</c:v>
                </c:pt>
                <c:pt idx="22">
                  <c:v>50300</c:v>
                </c:pt>
                <c:pt idx="23">
                  <c:v>37100</c:v>
                </c:pt>
                <c:pt idx="24">
                  <c:v>3600</c:v>
                </c:pt>
                <c:pt idx="25">
                  <c:v>26900</c:v>
                </c:pt>
                <c:pt idx="26">
                  <c:v>4600</c:v>
                </c:pt>
                <c:pt idx="27">
                  <c:v>6900</c:v>
                </c:pt>
                <c:pt idx="28">
                  <c:v>47400</c:v>
                </c:pt>
                <c:pt idx="29">
                  <c:v>9900</c:v>
                </c:pt>
                <c:pt idx="30">
                  <c:v>134800</c:v>
                </c:pt>
                <c:pt idx="31">
                  <c:v>10300</c:v>
                </c:pt>
                <c:pt idx="32">
                  <c:v>131300</c:v>
                </c:pt>
                <c:pt idx="33">
                  <c:v>70200</c:v>
                </c:pt>
                <c:pt idx="34">
                  <c:v>1000</c:v>
                </c:pt>
                <c:pt idx="35">
                  <c:v>50400</c:v>
                </c:pt>
                <c:pt idx="36">
                  <c:v>22800</c:v>
                </c:pt>
                <c:pt idx="37">
                  <c:v>64400</c:v>
                </c:pt>
                <c:pt idx="38">
                  <c:v>70200</c:v>
                </c:pt>
                <c:pt idx="39">
                  <c:v>6400</c:v>
                </c:pt>
                <c:pt idx="40">
                  <c:v>20900</c:v>
                </c:pt>
                <c:pt idx="41">
                  <c:v>1700</c:v>
                </c:pt>
                <c:pt idx="42">
                  <c:v>33200</c:v>
                </c:pt>
                <c:pt idx="43">
                  <c:v>230100</c:v>
                </c:pt>
                <c:pt idx="44">
                  <c:v>40000</c:v>
                </c:pt>
                <c:pt idx="45">
                  <c:v>7800</c:v>
                </c:pt>
                <c:pt idx="46">
                  <c:v>84900</c:v>
                </c:pt>
                <c:pt idx="47">
                  <c:v>152100</c:v>
                </c:pt>
                <c:pt idx="48">
                  <c:v>2800</c:v>
                </c:pt>
                <c:pt idx="49">
                  <c:v>24900</c:v>
                </c:pt>
                <c:pt idx="50">
                  <c:v>1100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6-3FD1-406D-8D90-B1DF0D8675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69827465399424193"/>
          <c:y val="4.4980577427821522E-2"/>
          <c:w val="0.30172534600575807"/>
          <c:h val="0.91003884514435696"/>
        </c:manualLayout>
      </c:layout>
      <c:overlay val="0"/>
      <c:txPr>
        <a:bodyPr/>
        <a:lstStyle/>
        <a:p>
          <a:pPr lvl="0">
            <a:defRPr b="0">
              <a:solidFill>
                <a:schemeClr val="dk1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952500</xdr:colOff>
      <xdr:row>983</xdr:row>
      <xdr:rowOff>114300</xdr:rowOff>
    </xdr:from>
    <xdr:ext cx="5715000" cy="3533775"/>
    <xdr:graphicFrame macro="">
      <xdr:nvGraphicFramePr>
        <xdr:cNvPr id="2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0</xdr:colOff>
      <xdr:row>2</xdr:row>
      <xdr:rowOff>190500</xdr:rowOff>
    </xdr:from>
    <xdr:ext cx="7833360" cy="2857500"/>
    <xdr:graphicFrame macro="">
      <xdr:nvGraphicFramePr>
        <xdr:cNvPr id="3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0</xdr:colOff>
      <xdr:row>17</xdr:row>
      <xdr:rowOff>91440</xdr:rowOff>
    </xdr:from>
    <xdr:ext cx="7787640" cy="2857500"/>
    <xdr:graphicFrame macro="">
      <xdr:nvGraphicFramePr>
        <xdr:cNvPr id="4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36080" cy="2499360"/>
    <xdr:sp macro="" textlink="">
      <xdr:nvSpPr>
        <xdr:cNvPr id="3" name="Shape 3"/>
        <xdr:cNvSpPr txBox="1"/>
      </xdr:nvSpPr>
      <xdr:spPr>
        <a:xfrm>
          <a:off x="0" y="0"/>
          <a:ext cx="6736080" cy="249936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Recommendations 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  <a:p>
          <a:pPr marL="457200" lvl="0" indent="-317500" algn="l" rtl="0">
            <a:spcBef>
              <a:spcPts val="0"/>
            </a:spcBef>
            <a:spcAft>
              <a:spcPts val="0"/>
            </a:spcAft>
            <a:buSzPts val="1400"/>
            <a:buChar char="●"/>
          </a:pPr>
          <a:r>
            <a:rPr lang="en-US" sz="1400"/>
            <a:t>I Recommend based on the chart </a:t>
          </a:r>
          <a:r>
            <a:rPr lang="en-US" sz="1400" b="1"/>
            <a:t>“top 5 % Ev”</a:t>
          </a:r>
          <a:r>
            <a:rPr lang="en-US" sz="1400"/>
            <a:t>  to invest in </a:t>
          </a:r>
          <a:r>
            <a:rPr lang="en-US" sz="1400" b="1"/>
            <a:t>california </a:t>
          </a:r>
          <a:r>
            <a:rPr lang="en-US" sz="1400"/>
            <a:t>and </a:t>
          </a:r>
          <a:r>
            <a:rPr lang="en-US" sz="1400" b="1"/>
            <a:t>district of columbia</a:t>
          </a:r>
          <a:r>
            <a:rPr lang="en-US" sz="1400"/>
            <a:t> and </a:t>
          </a:r>
          <a:r>
            <a:rPr lang="en-US" sz="1400" b="1"/>
            <a:t>hawaii </a:t>
          </a:r>
          <a:r>
            <a:rPr lang="en-US" sz="1400"/>
            <a:t>and prioritized EV infrastructure investment on those states</a:t>
          </a:r>
          <a:endParaRPr sz="1400"/>
        </a:p>
        <a:p>
          <a:pPr marL="457200" lvl="0" indent="-317500" algn="l" rtl="0">
            <a:spcBef>
              <a:spcPts val="0"/>
            </a:spcBef>
            <a:spcAft>
              <a:spcPts val="0"/>
            </a:spcAft>
            <a:buSzPts val="1400"/>
            <a:buChar char="●"/>
          </a:pPr>
          <a:r>
            <a:rPr lang="en-US" sz="1400"/>
            <a:t>Focus 80%+ of Clean Infrastructure Capital on EV Charging:</a:t>
          </a:r>
          <a:endParaRPr sz="1400"/>
        </a:p>
        <a:p>
          <a:pPr marL="45720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/>
            <a:t>High-Volume Markets (California, Florida, Texas):</a:t>
          </a:r>
          <a:r>
            <a:rPr lang="en-US" sz="1100"/>
            <a:t> Expand public DC fast-charging along major highway corridors to eliminate range anxiety in the largest volume markets.</a:t>
          </a:r>
          <a:endParaRPr sz="1100"/>
        </a:p>
        <a:p>
          <a:pPr marL="45720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1"/>
        </a:p>
        <a:p>
          <a:pPr marL="45720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1"/>
        </a:p>
        <a:p>
          <a:pPr marL="457200" lvl="0" indent="-298450" algn="l" rtl="0">
            <a:spcBef>
              <a:spcPts val="0"/>
            </a:spcBef>
            <a:spcAft>
              <a:spcPts val="0"/>
            </a:spcAft>
            <a:buSzPts val="1100"/>
            <a:buChar char="●"/>
          </a:pPr>
          <a:r>
            <a:rPr lang="en-US" sz="1100" b="1"/>
            <a:t>High-Adoption Markets (District of Columbia, Hawaii, Washington, Nevada):</a:t>
          </a:r>
          <a:r>
            <a:rPr lang="en-US" sz="1100"/>
            <a:t> Increase urban Level 2 and fast-charging density to support high per-capita EV penetration rates.</a:t>
          </a:r>
          <a:endParaRPr sz="1100"/>
        </a:p>
        <a:p>
          <a:pPr marL="45720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khedawy" refreshedDate="46323.514807175925" createdVersion="6" refreshedVersion="6" minRefreshableVersion="3" recordCount="51">
  <cacheSource type="worksheet">
    <worksheetSource name="State_Fuel_Types"/>
  </cacheSource>
  <cacheFields count="18">
    <cacheField name="State" numFmtId="0">
      <sharedItems count="51">
        <s v="Alabama"/>
        <s v="Alaska"/>
        <s v="Arizona"/>
        <s v="Arkansas"/>
        <s v="California"/>
        <s v="Colorado"/>
        <s v="Connecticut"/>
        <s v="Delaware"/>
        <s v="District of Columbia"/>
        <s v="Florida"/>
        <s v="Georgia"/>
        <s v="Hawaii"/>
        <s v="Idaho"/>
        <s v="Illinois"/>
        <s v="Indiana"/>
        <s v="Iowa"/>
        <s v="Kansas"/>
        <s v="Kentucky"/>
        <s v="Louisiana"/>
        <s v="Maine"/>
        <s v="Maryland"/>
        <s v="Massachusetts"/>
        <s v="Michigan"/>
        <s v="Minnesota"/>
        <s v="Mississippi"/>
        <s v="Missouri"/>
        <s v="Montana"/>
        <s v="Nebraska"/>
        <s v="Nevada"/>
        <s v="New Hampshire"/>
        <s v="New Jersey"/>
        <s v="New Mexico"/>
        <s v="New York"/>
        <s v="North Carolina"/>
        <s v="North Dakota"/>
        <s v="Ohio"/>
        <s v="Oklahoma"/>
        <s v="Oregon"/>
        <s v="Pennsylvania"/>
        <s v="Rhode Island"/>
        <s v="South Carolina"/>
        <s v="South Dakota"/>
        <s v="Tennessee"/>
        <s v="Texas"/>
        <s v="Utah"/>
        <s v="Vermont"/>
        <s v="Virginia"/>
        <s v="Washington"/>
        <s v="West Virginia"/>
        <s v="Wisconsin"/>
        <s v="Wyoming"/>
      </sharedItems>
    </cacheField>
    <cacheField name="Electric (EV)" numFmtId="3">
      <sharedItems containsSemiMixedTypes="0" containsString="0" containsNumber="1" containsInteger="1" minValue="1000" maxValue="1256600"/>
    </cacheField>
    <cacheField name="Plug-In Hybrid Electric (PHEV)" numFmtId="0">
      <sharedItems containsSemiMixedTypes="0" containsString="0" containsNumber="1" containsInteger="1" minValue="800" maxValue="410700"/>
    </cacheField>
    <cacheField name="Hybrid Electric (HEV)" numFmtId="3">
      <sharedItems containsSemiMixedTypes="0" containsString="0" containsNumber="1" containsInteger="1" minValue="8200" maxValue="1703200"/>
    </cacheField>
    <cacheField name="Biodiesel" numFmtId="0">
      <sharedItems containsSemiMixedTypes="0" containsString="0" containsNumber="1" containsInteger="1" minValue="400" maxValue="460700"/>
    </cacheField>
    <cacheField name="Ethanol/Flex (E85)" numFmtId="3">
      <sharedItems containsSemiMixedTypes="0" containsString="0" containsNumber="1" containsInteger="1" minValue="16800" maxValue="2315400"/>
    </cacheField>
    <cacheField name="Compressed Natural Gas (CNG)" numFmtId="0">
      <sharedItems containsSemiMixedTypes="0" containsString="0" containsNumber="1" containsInteger="1" minValue="0" maxValue="10100"/>
    </cacheField>
    <cacheField name="Propane" numFmtId="0">
      <sharedItems containsSemiMixedTypes="0" containsString="0" containsNumber="1" containsInteger="1" minValue="0" maxValue="1500"/>
    </cacheField>
    <cacheField name="Hydrogen" numFmtId="0">
      <sharedItems containsSemiMixedTypes="0" containsString="0" containsNumber="1" containsInteger="1" minValue="0" maxValue="16900"/>
    </cacheField>
    <cacheField name="Methanol" numFmtId="0">
      <sharedItems containsSemiMixedTypes="0" containsString="0" containsNumber="1" containsInteger="1" minValue="0" maxValue="0"/>
    </cacheField>
    <cacheField name="Gasoline" numFmtId="3">
      <sharedItems containsSemiMixedTypes="0" containsString="0" containsNumber="1" containsInteger="1" minValue="262500" maxValue="31191900"/>
    </cacheField>
    <cacheField name="Diesel" numFmtId="3">
      <sharedItems containsSemiMixedTypes="0" containsString="0" containsNumber="1" containsInteger="1" minValue="1800" maxValue="772800"/>
    </cacheField>
    <cacheField name="Unknown Fuel" numFmtId="0">
      <sharedItems containsSemiMixedTypes="0" containsString="0" containsNumber="1" containsInteger="1" minValue="600" maxValue="121800"/>
    </cacheField>
    <cacheField name="Total Vehicle per State" numFmtId="3">
      <sharedItems containsSemiMixedTypes="0" containsString="0" containsNumber="1" containsInteger="1" minValue="312100" maxValue="36850300"/>
    </cacheField>
    <cacheField name="%EV Vehicles" numFmtId="10">
      <sharedItems containsSemiMixedTypes="0" containsString="0" containsNumber="1" minValue="1.2540757461750689E-3" maxValue="3.410012944263683E-2" count="51">
        <n v="2.6882276308443104E-3"/>
        <n v="4.8231511254019296E-3"/>
        <n v="1.3754020523816817E-2"/>
        <n v="2.6215707270243328E-3"/>
        <n v="3.410012944263683E-2"/>
        <n v="1.6557021573743981E-2"/>
        <n v="1.072750110330312E-2"/>
        <n v="9.1833387996064289E-3"/>
        <n v="2.5953220121755848E-2"/>
        <n v="1.3716690343966593E-2"/>
        <n v="9.5826765120716837E-3"/>
        <n v="2.3701509119525972E-2"/>
        <n v="4.3046693001114146E-3"/>
        <n v="9.917157877967181E-3"/>
        <n v="4.2287065990505666E-3"/>
        <n v="2.8541527923128152E-3"/>
        <n v="4.311167067261837E-3"/>
        <n v="2.871500358937545E-3"/>
        <n v="2.1726458587250277E-3"/>
        <n v="5.9870550161812298E-3"/>
        <n v="1.424901185770751E-2"/>
        <n v="1.3439930068656554E-2"/>
        <n v="5.9000164215168788E-3"/>
        <n v="7.2482172511477974E-3"/>
        <n v="1.321925604964565E-3"/>
        <n v="4.7813722004976895E-3"/>
        <n v="4.50230008808848E-3"/>
        <n v="3.500405844155844E-3"/>
        <n v="1.8543875435233365E-2"/>
        <n v="7.1547300715473008E-3"/>
        <n v="1.8404991739599405E-2"/>
        <n v="5.2755582872362223E-3"/>
        <n v="1.1600374604633082E-2"/>
        <n v="7.7265973254086184E-3"/>
        <n v="1.2540757461750689E-3"/>
        <n v="4.8849989822918787E-3"/>
        <n v="5.3172881830266562E-3"/>
        <n v="1.6802776110835704E-2"/>
        <n v="6.8749387914993632E-3"/>
        <n v="7.2926162260711028E-3"/>
        <n v="4.1448516579406635E-3"/>
        <n v="1.8518518518518519E-3"/>
        <n v="5.0773842295222362E-3"/>
        <n v="8.9197801260631239E-3"/>
        <n v="1.3003055718093752E-2"/>
        <n v="1.3151239251390997E-2"/>
        <n v="1.0992425713730821E-2"/>
        <n v="2.2314813456375347E-2"/>
        <n v="1.8532000794228606E-3"/>
        <n v="4.5035268583830711E-3"/>
        <n v="1.6847909327615256E-3"/>
      </sharedItems>
    </cacheField>
    <cacheField name="%PHEV Vehicle " numFmtId="10">
      <sharedItems containsSemiMixedTypes="0" containsString="0" containsNumber="1" minValue="7.3440311386920281E-4" maxValue="1.1855174623518103E-2"/>
    </cacheField>
    <cacheField name="% HEV Vehicles" numFmtId="10">
      <sharedItems containsSemiMixedTypes="0" containsString="0" containsNumber="1" minValue="7.3440311386920281E-4" maxValue="1.1855174623518103E-2"/>
    </cacheField>
    <cacheField name="% Gasoline Vehicles" numFmtId="10">
      <sharedItems containsSemiMixedTypes="0" containsString="0" containsNumber="1" minValue="0.74911931383060193" maxValue="0.891066545123062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1">
  <r>
    <x v="0"/>
    <n v="13000"/>
    <n v="5800"/>
    <n v="63300"/>
    <n v="54200"/>
    <n v="441200"/>
    <n v="100"/>
    <n v="100"/>
    <n v="0"/>
    <n v="0"/>
    <n v="4102200"/>
    <n v="127000"/>
    <n v="29000"/>
    <n v="4835900"/>
    <x v="0"/>
    <n v="1.1993630968382307E-3"/>
    <n v="1.1993630968382307E-3"/>
    <n v="0.84828056824996378"/>
  </r>
  <r>
    <x v="1"/>
    <n v="2700"/>
    <n v="900"/>
    <n v="10600"/>
    <n v="9600"/>
    <n v="46800"/>
    <n v="0"/>
    <n v="0"/>
    <n v="0"/>
    <n v="0"/>
    <n v="454300"/>
    <n v="29800"/>
    <n v="5100"/>
    <n v="559800"/>
    <x v="1"/>
    <n v="1.6077170418006431E-3"/>
    <n v="1.6077170418006431E-3"/>
    <n v="0.81153983565559129"/>
  </r>
  <r>
    <x v="2"/>
    <n v="89800"/>
    <n v="25600"/>
    <n v="175700"/>
    <n v="68600"/>
    <n v="437100"/>
    <n v="600"/>
    <n v="700"/>
    <n v="0"/>
    <n v="0"/>
    <n v="5469000"/>
    <n v="197700"/>
    <n v="64200"/>
    <n v="6529000"/>
    <x v="2"/>
    <n v="3.9209679889722774E-3"/>
    <n v="3.9209679889722774E-3"/>
    <n v="0.83764741920661667"/>
  </r>
  <r>
    <x v="3"/>
    <n v="7100"/>
    <n v="3200"/>
    <n v="37000"/>
    <n v="37000"/>
    <n v="276700"/>
    <n v="200"/>
    <n v="0"/>
    <n v="0"/>
    <n v="0"/>
    <n v="2246100"/>
    <n v="90700"/>
    <n v="10300"/>
    <n v="2708300"/>
    <x v="3"/>
    <n v="1.1815530037292768E-3"/>
    <n v="1.1815530037292768E-3"/>
    <n v="0.82933943802385257"/>
  </r>
  <r>
    <x v="4"/>
    <n v="1256600"/>
    <n v="410700"/>
    <n v="1703200"/>
    <n v="201600"/>
    <n v="1314600"/>
    <n v="10100"/>
    <n v="1500"/>
    <n v="16900"/>
    <n v="0"/>
    <n v="31191900"/>
    <n v="735300"/>
    <n v="7900"/>
    <n v="36850300"/>
    <x v="4"/>
    <n v="1.1145092441581208E-2"/>
    <n v="1.1145092441581208E-2"/>
    <n v="0.84644901126992178"/>
  </r>
  <r>
    <x v="5"/>
    <n v="90100"/>
    <n v="37500"/>
    <n v="152700"/>
    <n v="68100"/>
    <n v="334300"/>
    <n v="300"/>
    <n v="100"/>
    <n v="0"/>
    <n v="0"/>
    <n v="4508800"/>
    <n v="203400"/>
    <n v="46500"/>
    <n v="5441800"/>
    <x v="5"/>
    <n v="6.8911022088279615E-3"/>
    <n v="6.8911022088279615E-3"/>
    <n v="0.82854937704436027"/>
  </r>
  <r>
    <x v="6"/>
    <n v="31600"/>
    <n v="18400"/>
    <n v="75300"/>
    <n v="10900"/>
    <n v="133600"/>
    <n v="100"/>
    <n v="0"/>
    <n v="0"/>
    <n v="0"/>
    <n v="2612600"/>
    <n v="42300"/>
    <n v="20900"/>
    <n v="2945700"/>
    <x v="6"/>
    <n v="6.246393047492956E-3"/>
    <n v="6.246393047492956E-3"/>
    <n v="0.8869199171673966"/>
  </r>
  <r>
    <x v="7"/>
    <n v="8400"/>
    <n v="3800"/>
    <n v="22900"/>
    <n v="5100"/>
    <n v="63900"/>
    <n v="0"/>
    <n v="0"/>
    <n v="0"/>
    <n v="0"/>
    <n v="791300"/>
    <n v="14200"/>
    <n v="5100"/>
    <n v="914700"/>
    <x v="7"/>
    <n v="4.1543675522029084E-3"/>
    <n v="4.1543675522029084E-3"/>
    <n v="0.86509238001530553"/>
  </r>
  <r>
    <x v="8"/>
    <n v="8100"/>
    <n v="3700"/>
    <n v="18100"/>
    <n v="400"/>
    <n v="16800"/>
    <n v="100"/>
    <n v="0"/>
    <n v="0"/>
    <n v="0"/>
    <n v="262500"/>
    <n v="1800"/>
    <n v="600"/>
    <n v="312100"/>
    <x v="8"/>
    <n v="1.1855174623518103E-2"/>
    <n v="1.1855174623518103E-2"/>
    <n v="0.84107657801986546"/>
  </r>
  <r>
    <x v="9"/>
    <n v="254900"/>
    <n v="57300"/>
    <n v="414500"/>
    <n v="170500"/>
    <n v="1101100"/>
    <n v="400"/>
    <n v="100"/>
    <n v="0"/>
    <n v="0"/>
    <n v="16136500"/>
    <n v="351800"/>
    <n v="96100"/>
    <n v="18583200"/>
    <x v="9"/>
    <n v="3.0834301950148522E-3"/>
    <n v="3.0834301950148522E-3"/>
    <n v="0.86833806879331865"/>
  </r>
  <r>
    <x v="10"/>
    <n v="92400"/>
    <n v="22700"/>
    <n v="175300"/>
    <n v="92500"/>
    <n v="719400"/>
    <n v="300"/>
    <n v="200"/>
    <n v="0"/>
    <n v="0"/>
    <n v="8256400"/>
    <n v="206300"/>
    <n v="76900"/>
    <n v="9642400"/>
    <x v="10"/>
    <n v="2.3541856799137143E-3"/>
    <n v="2.3541856799137143E-3"/>
    <n v="0.85625985231892476"/>
  </r>
  <r>
    <x v="11"/>
    <n v="25600"/>
    <n v="7300"/>
    <n v="36400"/>
    <n v="3400"/>
    <n v="37300"/>
    <n v="0"/>
    <n v="0"/>
    <n v="0"/>
    <n v="0"/>
    <n v="951000"/>
    <n v="15400"/>
    <n v="3700"/>
    <n v="1080100"/>
    <x v="11"/>
    <n v="6.7586334598648276E-3"/>
    <n v="6.7586334598648276E-3"/>
    <n v="0.88047403018239057"/>
  </r>
  <r>
    <x v="12"/>
    <n v="8500"/>
    <n v="4600"/>
    <n v="43700"/>
    <n v="45900"/>
    <n v="132900"/>
    <n v="100"/>
    <n v="100"/>
    <n v="0"/>
    <n v="0"/>
    <n v="1568600"/>
    <n v="138600"/>
    <n v="31600"/>
    <n v="1974600"/>
    <x v="12"/>
    <n v="2.3295857388838247E-3"/>
    <n v="2.3295857388838247E-3"/>
    <n v="0.79438873695938417"/>
  </r>
  <r>
    <x v="13"/>
    <n v="99600"/>
    <n v="33400"/>
    <n v="285400"/>
    <n v="61500"/>
    <n v="772900"/>
    <n v="300"/>
    <n v="0"/>
    <n v="0"/>
    <n v="0"/>
    <n v="8560300"/>
    <n v="170200"/>
    <n v="59600"/>
    <n v="10043200"/>
    <x v="13"/>
    <n v="3.3256332642982315E-3"/>
    <n v="3.3256332642982315E-3"/>
    <n v="0.8523478572566513"/>
  </r>
  <r>
    <x v="14"/>
    <n v="26100"/>
    <n v="12900"/>
    <n v="119100"/>
    <n v="56300"/>
    <n v="576300"/>
    <n v="300"/>
    <n v="0"/>
    <n v="0"/>
    <n v="0"/>
    <n v="5166200"/>
    <n v="156400"/>
    <n v="58500"/>
    <n v="6172100"/>
    <x v="14"/>
    <n v="2.0900503880364866E-3"/>
    <n v="2.0900503880364866E-3"/>
    <n v="0.83702467555613158"/>
  </r>
  <r>
    <x v="15"/>
    <n v="9000"/>
    <n v="6100"/>
    <n v="57200"/>
    <n v="41700"/>
    <n v="331300"/>
    <n v="100"/>
    <n v="0"/>
    <n v="0"/>
    <n v="0"/>
    <n v="2545400"/>
    <n v="105000"/>
    <n v="57500"/>
    <n v="3153300"/>
    <x v="15"/>
    <n v="1.9344813370120193E-3"/>
    <n v="1.9344813370120193E-3"/>
    <n v="0.80721783528367108"/>
  </r>
  <r>
    <x v="16"/>
    <n v="11300"/>
    <n v="5600"/>
    <n v="50400"/>
    <n v="27900"/>
    <n v="253500"/>
    <n v="200"/>
    <n v="100"/>
    <n v="0"/>
    <n v="0"/>
    <n v="2168600"/>
    <n v="87400"/>
    <n v="16100"/>
    <n v="2621100"/>
    <x v="16"/>
    <n v="2.1365075731563086E-3"/>
    <n v="2.1365075731563086E-3"/>
    <n v="0.8273625577047804"/>
  </r>
  <r>
    <x v="17"/>
    <n v="11600"/>
    <n v="5600"/>
    <n v="67100"/>
    <n v="36900"/>
    <n v="361200"/>
    <n v="300"/>
    <n v="0"/>
    <n v="0"/>
    <n v="0"/>
    <n v="3415000"/>
    <n v="117600"/>
    <n v="24400"/>
    <n v="4039700"/>
    <x v="17"/>
    <n v="1.3862415525905389E-3"/>
    <n v="1.3862415525905389E-3"/>
    <n v="0.84535980394583754"/>
  </r>
  <r>
    <x v="18"/>
    <n v="8200"/>
    <n v="4000"/>
    <n v="40200"/>
    <n v="64200"/>
    <n v="380100"/>
    <n v="100"/>
    <n v="0"/>
    <n v="0"/>
    <n v="0"/>
    <n v="3142800"/>
    <n v="115500"/>
    <n v="19100"/>
    <n v="3774200"/>
    <x v="18"/>
    <n v="1.0598272481585501E-3"/>
    <n v="1.0598272481585501E-3"/>
    <n v="0.83270626887817289"/>
  </r>
  <r>
    <x v="19"/>
    <n v="7400"/>
    <n v="7600"/>
    <n v="33600"/>
    <n v="12000"/>
    <n v="104500"/>
    <n v="0"/>
    <n v="0"/>
    <n v="0"/>
    <n v="0"/>
    <n v="1036100"/>
    <n v="26900"/>
    <n v="7900"/>
    <n v="1236000"/>
    <x v="19"/>
    <n v="6.1488673139158574E-3"/>
    <n v="6.1488673139158574E-3"/>
    <n v="0.83826860841423945"/>
  </r>
  <r>
    <x v="20"/>
    <n v="72100"/>
    <n v="31300"/>
    <n v="168700"/>
    <n v="32100"/>
    <n v="309300"/>
    <n v="300"/>
    <n v="0"/>
    <n v="0"/>
    <n v="0"/>
    <n v="4327800"/>
    <n v="86900"/>
    <n v="31500"/>
    <n v="5060000"/>
    <x v="20"/>
    <n v="6.1857707509881425E-3"/>
    <n v="6.1857707509881425E-3"/>
    <n v="0.85529644268774707"/>
  </r>
  <r>
    <x v="21"/>
    <n v="73800"/>
    <n v="43800"/>
    <n v="187300"/>
    <n v="21300"/>
    <n v="285000"/>
    <n v="200"/>
    <n v="0"/>
    <n v="0"/>
    <n v="0"/>
    <n v="4791300"/>
    <n v="58400"/>
    <n v="30000"/>
    <n v="5491100"/>
    <x v="21"/>
    <n v="7.9765438618855967E-3"/>
    <n v="7.9765438618855967E-3"/>
    <n v="0.87255741108338947"/>
  </r>
  <r>
    <x v="22"/>
    <n v="50300"/>
    <n v="29100"/>
    <n v="148100"/>
    <n v="70400"/>
    <n v="873700"/>
    <n v="300"/>
    <n v="0"/>
    <n v="0"/>
    <n v="0"/>
    <n v="7129600"/>
    <n v="174500"/>
    <n v="49400"/>
    <n v="8525400"/>
    <x v="22"/>
    <n v="3.4133295798437608E-3"/>
    <n v="3.4133295798437608E-3"/>
    <n v="0.83627747671663499"/>
  </r>
  <r>
    <x v="23"/>
    <n v="37100"/>
    <n v="16100"/>
    <n v="124500"/>
    <n v="52700"/>
    <n v="516400"/>
    <n v="100"/>
    <n v="0"/>
    <n v="0"/>
    <n v="0"/>
    <n v="4219200"/>
    <n v="127900"/>
    <n v="24500"/>
    <n v="5118500"/>
    <x v="23"/>
    <n v="3.1454527693660253E-3"/>
    <n v="3.1454527693660253E-3"/>
    <n v="0.8243039953111263"/>
  </r>
  <r>
    <x v="24"/>
    <n v="3600"/>
    <n v="2000"/>
    <n v="28200"/>
    <n v="34900"/>
    <n v="295200"/>
    <n v="100"/>
    <n v="0"/>
    <n v="0"/>
    <n v="0"/>
    <n v="2275600"/>
    <n v="75200"/>
    <n v="8500"/>
    <n v="2723300"/>
    <x v="24"/>
    <n v="7.3440311386920281E-4"/>
    <n v="7.3440311386920281E-4"/>
    <n v="0.83560386296037892"/>
  </r>
  <r>
    <x v="25"/>
    <n v="26900"/>
    <n v="13900"/>
    <n v="113900"/>
    <n v="70400"/>
    <n v="575500"/>
    <n v="900"/>
    <n v="100"/>
    <n v="0"/>
    <n v="0"/>
    <n v="4608600"/>
    <n v="178200"/>
    <n v="37600"/>
    <n v="5626000"/>
    <x v="25"/>
    <n v="2.4706718805545679E-3"/>
    <n v="2.4706718805545679E-3"/>
    <n v="0.81916103803768214"/>
  </r>
  <r>
    <x v="26"/>
    <n v="4600"/>
    <n v="2500"/>
    <n v="21100"/>
    <n v="37900"/>
    <n v="94500"/>
    <n v="0"/>
    <n v="0"/>
    <n v="0"/>
    <n v="0"/>
    <n v="780700"/>
    <n v="69600"/>
    <n v="10800"/>
    <n v="1021700"/>
    <x v="26"/>
    <n v="2.4469022217872174E-3"/>
    <n v="2.4469022217872174E-3"/>
    <n v="0.76411862581971224"/>
  </r>
  <r>
    <x v="27"/>
    <n v="6900"/>
    <n v="3800"/>
    <n v="32600"/>
    <n v="28900"/>
    <n v="197100"/>
    <n v="100"/>
    <n v="0"/>
    <n v="0"/>
    <n v="0"/>
    <n v="1600400"/>
    <n v="76100"/>
    <n v="25300"/>
    <n v="1971200"/>
    <x v="27"/>
    <n v="1.9277597402597403E-3"/>
    <n v="1.9277597402597403E-3"/>
    <n v="0.81189123376623373"/>
  </r>
  <r>
    <x v="28"/>
    <n v="47400"/>
    <n v="10600"/>
    <n v="69600"/>
    <n v="27200"/>
    <n v="125600"/>
    <n v="200"/>
    <n v="100"/>
    <n v="0"/>
    <n v="0"/>
    <n v="2169300"/>
    <n v="85800"/>
    <n v="20300"/>
    <n v="2556100"/>
    <x v="28"/>
    <n v="4.1469426078791912E-3"/>
    <n v="4.1469426078791912E-3"/>
    <n v="0.84867571691248389"/>
  </r>
  <r>
    <x v="29"/>
    <n v="9900"/>
    <n v="6600"/>
    <n v="36800"/>
    <n v="13900"/>
    <n v="89600"/>
    <n v="100"/>
    <n v="0"/>
    <n v="0"/>
    <n v="0"/>
    <n v="1185300"/>
    <n v="29200"/>
    <n v="12300"/>
    <n v="1383700"/>
    <x v="29"/>
    <n v="4.7698200476982006E-3"/>
    <n v="4.7698200476982006E-3"/>
    <n v="0.85661631856616316"/>
  </r>
  <r>
    <x v="30"/>
    <n v="134800"/>
    <n v="40900"/>
    <n v="174200"/>
    <n v="27800"/>
    <n v="392100"/>
    <n v="300"/>
    <n v="0"/>
    <n v="0"/>
    <n v="0"/>
    <n v="6433000"/>
    <n v="84600"/>
    <n v="36400"/>
    <n v="7324100"/>
    <x v="30"/>
    <n v="5.5843038735134696E-3"/>
    <n v="5.5843038735134696E-3"/>
    <n v="0.87833317404186184"/>
  </r>
  <r>
    <x v="31"/>
    <n v="10300"/>
    <n v="4900"/>
    <n v="44300"/>
    <n v="32100"/>
    <n v="151600"/>
    <n v="100"/>
    <n v="100"/>
    <n v="0"/>
    <n v="0"/>
    <n v="1597600"/>
    <n v="88500"/>
    <n v="22900"/>
    <n v="1952400"/>
    <x v="31"/>
    <n v="2.5097316123745134E-3"/>
    <n v="2.5097316123745134E-3"/>
    <n v="0.81827494365908626"/>
  </r>
  <r>
    <x v="32"/>
    <n v="131300"/>
    <n v="92300"/>
    <n v="314000"/>
    <n v="54300"/>
    <n v="591100"/>
    <n v="400"/>
    <n v="100"/>
    <n v="0"/>
    <n v="0"/>
    <n v="9905500"/>
    <n v="150500"/>
    <n v="79100"/>
    <n v="11318600"/>
    <x v="32"/>
    <n v="8.1547187814747409E-3"/>
    <n v="8.1547187814747409E-3"/>
    <n v="0.87515240400756278"/>
  </r>
  <r>
    <x v="33"/>
    <n v="70200"/>
    <n v="23700"/>
    <n v="210600"/>
    <n v="80200"/>
    <n v="655000"/>
    <n v="300"/>
    <n v="100"/>
    <n v="0"/>
    <n v="0"/>
    <n v="7764000"/>
    <n v="209700"/>
    <n v="71700"/>
    <n v="9085500"/>
    <x v="33"/>
    <n v="2.608552088492653E-3"/>
    <n v="2.608552088492653E-3"/>
    <n v="0.85454845633151721"/>
  </r>
  <r>
    <x v="34"/>
    <n v="1000"/>
    <n v="800"/>
    <n v="8200"/>
    <n v="20400"/>
    <n v="89900"/>
    <n v="0"/>
    <n v="0"/>
    <n v="0"/>
    <n v="0"/>
    <n v="625300"/>
    <n v="44600"/>
    <n v="7200"/>
    <n v="797400"/>
    <x v="34"/>
    <n v="1.0032605969400551E-3"/>
    <n v="1.0032605969400551E-3"/>
    <n v="0.78417356408327066"/>
  </r>
  <r>
    <x v="35"/>
    <n v="50400"/>
    <n v="24000"/>
    <n v="199800"/>
    <n v="70300"/>
    <n v="833500"/>
    <n v="700"/>
    <n v="100"/>
    <n v="0"/>
    <n v="0"/>
    <n v="8881400"/>
    <n v="196200"/>
    <n v="60900"/>
    <n v="10317300"/>
    <x v="35"/>
    <n v="2.3261899915675613E-3"/>
    <n v="2.3261899915675613E-3"/>
    <n v="0.86082599129617243"/>
  </r>
  <r>
    <x v="36"/>
    <n v="22800"/>
    <n v="33000"/>
    <n v="56400"/>
    <n v="63100"/>
    <n v="352400"/>
    <n v="1800"/>
    <n v="200"/>
    <n v="0"/>
    <n v="0"/>
    <n v="3567500"/>
    <n v="145700"/>
    <n v="45000"/>
    <n v="4287900"/>
    <x v="36"/>
    <n v="7.6960750017491079E-3"/>
    <n v="7.6960750017491079E-3"/>
    <n v="0.83199235056787701"/>
  </r>
  <r>
    <x v="37"/>
    <n v="64400"/>
    <n v="28800"/>
    <n v="156900"/>
    <n v="55500"/>
    <n v="184600"/>
    <n v="100"/>
    <n v="100"/>
    <n v="0"/>
    <n v="0"/>
    <n v="3074300"/>
    <n v="217000"/>
    <n v="51000"/>
    <n v="3832700"/>
    <x v="37"/>
    <n v="7.5142849688209353E-3"/>
    <n v="7.5142849688209353E-3"/>
    <n v="0.80212382915438207"/>
  </r>
  <r>
    <x v="38"/>
    <n v="70200"/>
    <n v="38900"/>
    <n v="245400"/>
    <n v="73900"/>
    <n v="661700"/>
    <n v="500"/>
    <n v="100"/>
    <n v="0"/>
    <n v="0"/>
    <n v="8886400"/>
    <n v="192100"/>
    <n v="41800"/>
    <n v="10211000"/>
    <x v="38"/>
    <n v="3.8096170796200176E-3"/>
    <n v="3.8096170796200176E-3"/>
    <n v="0.87027715209088241"/>
  </r>
  <r>
    <x v="39"/>
    <n v="6400"/>
    <n v="5100"/>
    <n v="22100"/>
    <n v="3100"/>
    <n v="41900"/>
    <n v="0"/>
    <n v="0"/>
    <n v="0"/>
    <n v="0"/>
    <n v="782000"/>
    <n v="11000"/>
    <n v="6000"/>
    <n v="877600"/>
    <x v="39"/>
    <n v="5.8113035551504103E-3"/>
    <n v="5.8113035551504103E-3"/>
    <n v="0.89106654512306294"/>
  </r>
  <r>
    <x v="40"/>
    <n v="20900"/>
    <n v="9000"/>
    <n v="83100"/>
    <n v="44600"/>
    <n v="404600"/>
    <n v="100"/>
    <n v="100"/>
    <n v="0"/>
    <n v="0"/>
    <n v="4325000"/>
    <n v="110100"/>
    <n v="44900"/>
    <n v="5042400"/>
    <x v="40"/>
    <n v="1.7848643503093765E-3"/>
    <n v="1.7848643503093765E-3"/>
    <n v="0.8577264794542282"/>
  </r>
  <r>
    <x v="41"/>
    <n v="1700"/>
    <n v="1300"/>
    <n v="11900"/>
    <n v="21500"/>
    <n v="98800"/>
    <n v="0"/>
    <n v="0"/>
    <n v="0"/>
    <n v="0"/>
    <n v="718300"/>
    <n v="51200"/>
    <n v="13300"/>
    <n v="918000"/>
    <x v="41"/>
    <n v="1.4161220043572985E-3"/>
    <n v="1.4161220043572985E-3"/>
    <n v="0.78246187363834419"/>
  </r>
  <r>
    <x v="42"/>
    <n v="33200"/>
    <n v="11000"/>
    <n v="113300"/>
    <n v="53100"/>
    <n v="509000"/>
    <n v="200"/>
    <n v="100"/>
    <n v="0"/>
    <n v="0"/>
    <n v="5620500"/>
    <n v="160700"/>
    <n v="37700"/>
    <n v="6538800"/>
    <x v="42"/>
    <n v="1.6822658591790544E-3"/>
    <n v="1.6822658591790544E-3"/>
    <n v="0.85956138741053401"/>
  </r>
  <r>
    <x v="43"/>
    <n v="230100"/>
    <n v="55300"/>
    <n v="445100"/>
    <n v="460700"/>
    <n v="2315400"/>
    <n v="1300"/>
    <n v="1300"/>
    <n v="0"/>
    <n v="0"/>
    <n v="21392800"/>
    <n v="772800"/>
    <n v="121800"/>
    <n v="25796600"/>
    <x v="43"/>
    <n v="2.1436933549382475E-3"/>
    <n v="2.1436933549382475E-3"/>
    <n v="0.82928758053386875"/>
  </r>
  <r>
    <x v="44"/>
    <n v="40000"/>
    <n v="13000"/>
    <n v="83200"/>
    <n v="68500"/>
    <n v="185200"/>
    <n v="2200"/>
    <n v="500"/>
    <n v="0"/>
    <n v="0"/>
    <n v="2499600"/>
    <n v="158000"/>
    <n v="26000"/>
    <n v="3076200"/>
    <x v="44"/>
    <n v="4.2259931083804695E-3"/>
    <n v="4.2259931083804695E-3"/>
    <n v="0.8125609518236786"/>
  </r>
  <r>
    <x v="45"/>
    <n v="7800"/>
    <n v="5700"/>
    <n v="20300"/>
    <n v="7000"/>
    <n v="36600"/>
    <n v="0"/>
    <n v="0"/>
    <n v="0"/>
    <n v="0"/>
    <n v="496000"/>
    <n v="14700"/>
    <n v="5000"/>
    <n v="593100"/>
    <x v="45"/>
    <n v="9.6105209914011131E-3"/>
    <n v="9.6105209914011131E-3"/>
    <n v="0.83628393188332495"/>
  </r>
  <r>
    <x v="46"/>
    <n v="84900"/>
    <n v="26800"/>
    <n v="229400"/>
    <n v="44300"/>
    <n v="484800"/>
    <n v="300"/>
    <n v="0"/>
    <n v="0"/>
    <n v="0"/>
    <n v="6670000"/>
    <n v="152800"/>
    <n v="30200"/>
    <n v="7723500"/>
    <x v="46"/>
    <n v="3.4699294361364664E-3"/>
    <n v="3.4699294361364664E-3"/>
    <n v="0.86359810966530715"/>
  </r>
  <r>
    <x v="47"/>
    <n v="152100"/>
    <n v="41200"/>
    <n v="307200"/>
    <n v="73800"/>
    <n v="337700"/>
    <n v="100"/>
    <n v="100"/>
    <n v="0"/>
    <n v="0"/>
    <n v="5583000"/>
    <n v="274200"/>
    <n v="46700"/>
    <n v="6816100"/>
    <x v="47"/>
    <n v="6.0445122577426971E-3"/>
    <n v="6.0445122577426971E-3"/>
    <n v="0.81909009550916212"/>
  </r>
  <r>
    <x v="48"/>
    <n v="2800"/>
    <n v="1800"/>
    <n v="22400"/>
    <n v="17300"/>
    <n v="123400"/>
    <n v="100"/>
    <n v="0"/>
    <n v="0"/>
    <n v="0"/>
    <n v="1281500"/>
    <n v="46400"/>
    <n v="15200"/>
    <n v="1510900"/>
    <x v="48"/>
    <n v="1.1913429082004105E-3"/>
    <n v="1.1913429082004105E-3"/>
    <n v="0.84816996492156993"/>
  </r>
  <r>
    <x v="49"/>
    <n v="24900"/>
    <n v="12500"/>
    <n v="123600"/>
    <n v="52900"/>
    <n v="536200"/>
    <n v="300"/>
    <n v="0"/>
    <n v="0"/>
    <n v="0"/>
    <n v="4604700"/>
    <n v="147500"/>
    <n v="26400"/>
    <n v="5529000"/>
    <x v="49"/>
    <n v="2.2608066558147946E-3"/>
    <n v="2.2608066558147946E-3"/>
    <n v="0.83282691264243081"/>
  </r>
  <r>
    <x v="50"/>
    <n v="1100"/>
    <n v="800"/>
    <n v="8400"/>
    <n v="21200"/>
    <n v="57700"/>
    <n v="0"/>
    <n v="0"/>
    <n v="0"/>
    <n v="0"/>
    <n v="489100"/>
    <n v="60900"/>
    <n v="13700"/>
    <n v="652900"/>
    <x v="50"/>
    <n v="1.2253024965538366E-3"/>
    <n v="1.2253024965538366E-3"/>
    <n v="0.749119313830601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E55" firstHeaderRow="0" firstDataRow="1" firstDataCol="1"/>
  <pivotFields count="18">
    <pivotField axis="axisRow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umFmtId="3" showAll="0"/>
    <pivotField showAll="0"/>
    <pivotField numFmtId="3" showAll="0"/>
    <pivotField showAll="0"/>
    <pivotField numFmtId="3" showAll="0"/>
    <pivotField showAll="0"/>
    <pivotField showAll="0"/>
    <pivotField showAll="0"/>
    <pivotField showAll="0"/>
    <pivotField numFmtId="3" showAll="0"/>
    <pivotField numFmtId="3" showAll="0"/>
    <pivotField showAll="0"/>
    <pivotField numFmtId="3" showAll="0"/>
    <pivotField dataField="1" numFmtId="10" showAll="0">
      <items count="52">
        <item x="34"/>
        <item x="24"/>
        <item x="50"/>
        <item x="41"/>
        <item x="48"/>
        <item x="18"/>
        <item x="3"/>
        <item x="0"/>
        <item x="15"/>
        <item x="17"/>
        <item x="27"/>
        <item x="40"/>
        <item x="14"/>
        <item x="12"/>
        <item x="16"/>
        <item x="26"/>
        <item x="49"/>
        <item x="25"/>
        <item x="1"/>
        <item x="35"/>
        <item x="42"/>
        <item x="31"/>
        <item x="36"/>
        <item x="22"/>
        <item x="19"/>
        <item x="38"/>
        <item x="29"/>
        <item x="23"/>
        <item x="39"/>
        <item x="33"/>
        <item x="43"/>
        <item x="7"/>
        <item x="10"/>
        <item x="13"/>
        <item x="6"/>
        <item x="46"/>
        <item x="32"/>
        <item x="44"/>
        <item x="45"/>
        <item x="21"/>
        <item x="9"/>
        <item x="2"/>
        <item x="20"/>
        <item x="5"/>
        <item x="37"/>
        <item x="30"/>
        <item x="28"/>
        <item x="47"/>
        <item x="11"/>
        <item x="8"/>
        <item x="4"/>
        <item t="default"/>
      </items>
    </pivotField>
    <pivotField dataField="1" numFmtId="10" showAll="0"/>
    <pivotField dataField="1" numFmtId="10" showAll="0"/>
    <pivotField dataField="1" numFmtId="10" showAll="0"/>
  </pivotFields>
  <rowFields count="1">
    <field x="0"/>
  </rowFields>
  <rowItems count="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%EV Vehicles" fld="14" baseField="0" baseItem="0"/>
    <dataField name="Sum of %PHEV Vehicle " fld="15" baseField="0" baseItem="0"/>
    <dataField name="Sum of % HEV Vehicles" fld="16" baseField="0" baseItem="0"/>
    <dataField name="Sum of % Gasoline Vehicles" fld="17" baseField="0" baseItem="0"/>
  </dataFields>
  <formats count="3">
    <format dxfId="6">
      <pivotArea collapsedLevelsAreSubtotals="1" fieldPosition="0">
        <references count="1">
          <reference field="0" count="0"/>
        </references>
      </pivotArea>
    </format>
    <format dxfId="7">
      <pivotArea collapsedLevelsAreSubtotals="1" fieldPosition="0">
        <references count="1">
          <reference field="0" count="0"/>
        </references>
      </pivotArea>
    </format>
    <format dxfId="8">
      <pivotArea collapsedLevelsAreSubtotals="1" fieldPosition="0">
        <references count="1">
          <reference field="0" count="0"/>
        </references>
      </pivotArea>
    </format>
  </formats>
  <conditionalFormats count="2">
    <conditionalFormat type="all"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51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</reference>
          </references>
        </pivotArea>
      </pivotAreas>
    </conditionalFormat>
    <conditionalFormat type="all"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State_Fuel_Types" displayName="State_Fuel_Types" ref="A1:R53" totalsRowCount="1" headerRowDxfId="10">
  <tableColumns count="18">
    <tableColumn id="1" name="State"/>
    <tableColumn id="2" name="Electric (EV)" totalsRowFunction="custom">
      <totalsRowFormula>SUM(State_Fuel_Types[Electric (EV)])</totalsRowFormula>
    </tableColumn>
    <tableColumn id="3" name="Plug-In Hybrid Electric (PHEV)" totalsRowFunction="custom">
      <totalsRowFormula>SUM(State_Fuel_Types[Plug-In Hybrid Electric (PHEV)])</totalsRowFormula>
    </tableColumn>
    <tableColumn id="4" name="Hybrid Electric (HEV)" totalsRowFunction="custom">
      <totalsRowFormula>SUM(State_Fuel_Types[Hybrid Electric (HEV)])</totalsRowFormula>
    </tableColumn>
    <tableColumn id="5" name="Biodiesel" totalsRowFunction="custom">
      <totalsRowFormula>SUM(State_Fuel_Types[Biodiesel])</totalsRowFormula>
    </tableColumn>
    <tableColumn id="6" name="Ethanol/Flex (E85)" totalsRowFunction="custom">
      <totalsRowFormula>SUM(State_Fuel_Types[Ethanol/Flex (E85)])</totalsRowFormula>
    </tableColumn>
    <tableColumn id="7" name="Compressed Natural Gas (CNG)" totalsRowFunction="custom">
      <totalsRowFormula>SUM(State_Fuel_Types[Compressed Natural Gas (CNG)])</totalsRowFormula>
    </tableColumn>
    <tableColumn id="8" name="Propane" totalsRowFunction="custom">
      <totalsRowFormula>SUM(State_Fuel_Types[Propane])</totalsRowFormula>
    </tableColumn>
    <tableColumn id="9" name="Hydrogen" totalsRowFunction="custom">
      <totalsRowFormula>SUM(State_Fuel_Types[Hydrogen])</totalsRowFormula>
    </tableColumn>
    <tableColumn id="10" name="Methanol" totalsRowFunction="custom">
      <totalsRowFormula>SUM(State_Fuel_Types[Methanol])</totalsRowFormula>
    </tableColumn>
    <tableColumn id="11" name="Gasoline" totalsRowFunction="custom">
      <totalsRowFormula>SUM(State_Fuel_Types[Gasoline])</totalsRowFormula>
    </tableColumn>
    <tableColumn id="12" name="Diesel" totalsRowFunction="custom">
      <totalsRowFormula>SUM(State_Fuel_Types[Diesel])</totalsRowFormula>
    </tableColumn>
    <tableColumn id="13" name="Unknown Fuel" totalsRowFunction="custom">
      <totalsRowFormula>SUM(State_Fuel_Types[Unknown Fuel])</totalsRowFormula>
    </tableColumn>
    <tableColumn id="14" name="Total Vehicle per State" totalsRowFunction="custom">
      <totalsRowFormula>SUM(State_Fuel_Types[Total Vehicle per State])</totalsRowFormula>
    </tableColumn>
    <tableColumn id="15" name="%EV Vehicles"/>
    <tableColumn id="16" name="%PHEV Vehicle "/>
    <tableColumn id="17" name="% HEV Vehicles"/>
    <tableColumn id="18" name="% Gasoline Vehicles"/>
  </tableColumns>
  <tableStyleInfo name="Vehicle Data.csv-style" showFirstColumn="1" showLastColumn="1" showRowStripes="1" showColumnStripes="0"/>
</table>
</file>

<file path=xl/tables/table2.xml><?xml version="1.0" encoding="utf-8"?>
<table xmlns="http://schemas.openxmlformats.org/spreadsheetml/2006/main" id="2" name="Top_5_States_by_EV_Vehicles" displayName="Top_5_States_by_EV_Vehicles" ref="A3:B8">
  <tableColumns count="2">
    <tableColumn id="1" name="State"/>
    <tableColumn id="2" name="EV_pct_num"/>
  </tableColumns>
  <tableStyleInfo name="Chart1 Top 5 States by % EV Veh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53"/>
  <sheetViews>
    <sheetView workbookViewId="0">
      <pane ySplit="1" topLeftCell="A2" activePane="bottomLeft" state="frozen"/>
      <selection pane="bottomLeft" sqref="A1:R52"/>
    </sheetView>
  </sheetViews>
  <sheetFormatPr defaultColWidth="12.6640625" defaultRowHeight="15.75" customHeight="1" x14ac:dyDescent="0.25"/>
  <cols>
    <col min="1" max="1" width="17" customWidth="1"/>
    <col min="2" max="2" width="17.88671875" customWidth="1"/>
    <col min="3" max="3" width="30.88671875" customWidth="1"/>
    <col min="4" max="4" width="24.21875" customWidth="1"/>
    <col min="5" max="5" width="15.44140625" customWidth="1"/>
    <col min="6" max="6" width="22.44140625" customWidth="1"/>
    <col min="7" max="7" width="32.21875" customWidth="1"/>
    <col min="8" max="8" width="15" customWidth="1"/>
    <col min="9" max="9" width="15.88671875" customWidth="1"/>
    <col min="10" max="10" width="15.77734375" customWidth="1"/>
    <col min="11" max="11" width="15.21875" customWidth="1"/>
    <col min="12" max="12" width="13.21875" customWidth="1"/>
    <col min="13" max="13" width="19.109375" customWidth="1"/>
    <col min="14" max="14" width="22.109375" customWidth="1"/>
    <col min="15" max="15" width="18.6640625" customWidth="1"/>
    <col min="16" max="16" width="20.33203125" customWidth="1"/>
    <col min="17" max="17" width="20.21875" customWidth="1"/>
    <col min="18" max="18" width="23.44140625" customWidth="1"/>
  </cols>
  <sheetData>
    <row r="1" spans="1:18" ht="22.5" customHeight="1" x14ac:dyDescent="0.25">
      <c r="A1" s="24" t="s">
        <v>1</v>
      </c>
      <c r="B1" s="24" t="s">
        <v>7</v>
      </c>
      <c r="C1" s="24" t="s">
        <v>14</v>
      </c>
      <c r="D1" s="24" t="s">
        <v>16</v>
      </c>
      <c r="E1" s="24" t="s">
        <v>18</v>
      </c>
      <c r="F1" s="24" t="s">
        <v>19</v>
      </c>
      <c r="G1" s="24" t="s">
        <v>20</v>
      </c>
      <c r="H1" s="24" t="s">
        <v>21</v>
      </c>
      <c r="I1" s="24" t="s">
        <v>22</v>
      </c>
      <c r="J1" s="24" t="s">
        <v>24</v>
      </c>
      <c r="K1" s="24" t="s">
        <v>25</v>
      </c>
      <c r="L1" s="24" t="s">
        <v>26</v>
      </c>
      <c r="M1" s="24" t="s">
        <v>27</v>
      </c>
      <c r="N1" s="24" t="s">
        <v>6</v>
      </c>
      <c r="O1" s="24" t="s">
        <v>8</v>
      </c>
      <c r="P1" s="24" t="s">
        <v>30</v>
      </c>
      <c r="Q1" s="24" t="s">
        <v>32</v>
      </c>
      <c r="R1" s="24" t="s">
        <v>33</v>
      </c>
    </row>
    <row r="2" spans="1:18" ht="22.5" customHeight="1" x14ac:dyDescent="0.25">
      <c r="A2" s="14" t="s">
        <v>35</v>
      </c>
      <c r="B2" s="15">
        <v>13000</v>
      </c>
      <c r="C2" s="16">
        <v>5800</v>
      </c>
      <c r="D2" s="15">
        <v>63300</v>
      </c>
      <c r="E2" s="16">
        <v>54200</v>
      </c>
      <c r="F2" s="15">
        <v>441200</v>
      </c>
      <c r="G2" s="16">
        <v>100</v>
      </c>
      <c r="H2" s="16">
        <v>100</v>
      </c>
      <c r="I2" s="16">
        <v>0</v>
      </c>
      <c r="J2" s="16">
        <v>0</v>
      </c>
      <c r="K2" s="15">
        <v>4102200</v>
      </c>
      <c r="L2" s="15">
        <v>127000</v>
      </c>
      <c r="M2" s="16">
        <v>29000</v>
      </c>
      <c r="N2" s="17">
        <f t="shared" ref="N2:N52" si="0">SUM(B2:M2)</f>
        <v>4835900</v>
      </c>
      <c r="O2" s="18">
        <f t="shared" ref="O2:P2" si="1">B2/$N2</f>
        <v>2.6882276308443104E-3</v>
      </c>
      <c r="P2" s="19">
        <f t="shared" si="1"/>
        <v>1.1993630968382307E-3</v>
      </c>
      <c r="Q2" s="19">
        <f t="shared" ref="Q2:Q52" si="2">C2/$N2</f>
        <v>1.1993630968382307E-3</v>
      </c>
      <c r="R2" s="19">
        <f t="shared" ref="R2:R52" si="3">K2/$N2</f>
        <v>0.84828056824996378</v>
      </c>
    </row>
    <row r="3" spans="1:18" ht="22.5" customHeight="1" x14ac:dyDescent="0.25">
      <c r="A3" s="14" t="s">
        <v>44</v>
      </c>
      <c r="B3" s="15">
        <v>2700</v>
      </c>
      <c r="C3" s="16">
        <v>900</v>
      </c>
      <c r="D3" s="15">
        <v>10600</v>
      </c>
      <c r="E3" s="16">
        <v>9600</v>
      </c>
      <c r="F3" s="15">
        <v>46800</v>
      </c>
      <c r="G3" s="16">
        <v>0</v>
      </c>
      <c r="H3" s="16">
        <v>0</v>
      </c>
      <c r="I3" s="16">
        <v>0</v>
      </c>
      <c r="J3" s="16">
        <v>0</v>
      </c>
      <c r="K3" s="15">
        <v>454300</v>
      </c>
      <c r="L3" s="15">
        <v>29800</v>
      </c>
      <c r="M3" s="16">
        <v>5100</v>
      </c>
      <c r="N3" s="17">
        <f t="shared" si="0"/>
        <v>559800</v>
      </c>
      <c r="O3" s="20">
        <f t="shared" ref="O3:O52" si="4">B3/N3</f>
        <v>4.8231511254019296E-3</v>
      </c>
      <c r="P3" s="20">
        <f t="shared" ref="P3:P52" si="5">C3/$N3</f>
        <v>1.6077170418006431E-3</v>
      </c>
      <c r="Q3" s="20">
        <f t="shared" si="2"/>
        <v>1.6077170418006431E-3</v>
      </c>
      <c r="R3" s="19">
        <f t="shared" si="3"/>
        <v>0.81153983565559129</v>
      </c>
    </row>
    <row r="4" spans="1:18" ht="22.5" customHeight="1" x14ac:dyDescent="0.25">
      <c r="A4" s="14" t="s">
        <v>45</v>
      </c>
      <c r="B4" s="15">
        <v>89800</v>
      </c>
      <c r="C4" s="16">
        <v>25600</v>
      </c>
      <c r="D4" s="15">
        <v>175700</v>
      </c>
      <c r="E4" s="16">
        <v>68600</v>
      </c>
      <c r="F4" s="15">
        <v>437100</v>
      </c>
      <c r="G4" s="16">
        <v>600</v>
      </c>
      <c r="H4" s="16">
        <v>700</v>
      </c>
      <c r="I4" s="16">
        <v>0</v>
      </c>
      <c r="J4" s="16">
        <v>0</v>
      </c>
      <c r="K4" s="15">
        <v>5469000</v>
      </c>
      <c r="L4" s="15">
        <v>197700</v>
      </c>
      <c r="M4" s="16">
        <v>64200</v>
      </c>
      <c r="N4" s="17">
        <f t="shared" si="0"/>
        <v>6529000</v>
      </c>
      <c r="O4" s="20">
        <f t="shared" si="4"/>
        <v>1.3754020523816817E-2</v>
      </c>
      <c r="P4" s="20">
        <f t="shared" si="5"/>
        <v>3.9209679889722774E-3</v>
      </c>
      <c r="Q4" s="20">
        <f t="shared" si="2"/>
        <v>3.9209679889722774E-3</v>
      </c>
      <c r="R4" s="19">
        <f t="shared" si="3"/>
        <v>0.83764741920661667</v>
      </c>
    </row>
    <row r="5" spans="1:18" ht="22.5" customHeight="1" x14ac:dyDescent="0.25">
      <c r="A5" s="14" t="s">
        <v>46</v>
      </c>
      <c r="B5" s="15">
        <v>7100</v>
      </c>
      <c r="C5" s="16">
        <v>3200</v>
      </c>
      <c r="D5" s="15">
        <v>37000</v>
      </c>
      <c r="E5" s="16">
        <v>37000</v>
      </c>
      <c r="F5" s="15">
        <v>276700</v>
      </c>
      <c r="G5" s="16">
        <v>200</v>
      </c>
      <c r="H5" s="16">
        <v>0</v>
      </c>
      <c r="I5" s="16">
        <v>0</v>
      </c>
      <c r="J5" s="16">
        <v>0</v>
      </c>
      <c r="K5" s="15">
        <v>2246100</v>
      </c>
      <c r="L5" s="15">
        <v>90700</v>
      </c>
      <c r="M5" s="16">
        <v>10300</v>
      </c>
      <c r="N5" s="17">
        <f t="shared" si="0"/>
        <v>2708300</v>
      </c>
      <c r="O5" s="20">
        <f t="shared" si="4"/>
        <v>2.6215707270243328E-3</v>
      </c>
      <c r="P5" s="20">
        <f t="shared" si="5"/>
        <v>1.1815530037292768E-3</v>
      </c>
      <c r="Q5" s="20">
        <f t="shared" si="2"/>
        <v>1.1815530037292768E-3</v>
      </c>
      <c r="R5" s="19">
        <f t="shared" si="3"/>
        <v>0.82933943802385257</v>
      </c>
    </row>
    <row r="6" spans="1:18" ht="22.5" customHeight="1" x14ac:dyDescent="0.25">
      <c r="A6" s="14" t="s">
        <v>2</v>
      </c>
      <c r="B6" s="15">
        <v>1256600</v>
      </c>
      <c r="C6" s="16">
        <v>410700</v>
      </c>
      <c r="D6" s="15">
        <v>1703200</v>
      </c>
      <c r="E6" s="16">
        <v>201600</v>
      </c>
      <c r="F6" s="15">
        <v>1314600</v>
      </c>
      <c r="G6" s="16">
        <v>10100</v>
      </c>
      <c r="H6" s="16">
        <v>1500</v>
      </c>
      <c r="I6" s="16">
        <v>16900</v>
      </c>
      <c r="J6" s="16">
        <v>0</v>
      </c>
      <c r="K6" s="15">
        <v>31191900</v>
      </c>
      <c r="L6" s="15">
        <v>735300</v>
      </c>
      <c r="M6" s="16">
        <v>7900</v>
      </c>
      <c r="N6" s="17">
        <f t="shared" si="0"/>
        <v>36850300</v>
      </c>
      <c r="O6" s="20">
        <f t="shared" si="4"/>
        <v>3.410012944263683E-2</v>
      </c>
      <c r="P6" s="20">
        <f t="shared" si="5"/>
        <v>1.1145092441581208E-2</v>
      </c>
      <c r="Q6" s="20">
        <f t="shared" si="2"/>
        <v>1.1145092441581208E-2</v>
      </c>
      <c r="R6" s="19">
        <f t="shared" si="3"/>
        <v>0.84644901126992178</v>
      </c>
    </row>
    <row r="7" spans="1:18" ht="22.5" customHeight="1" x14ac:dyDescent="0.25">
      <c r="A7" s="14" t="s">
        <v>47</v>
      </c>
      <c r="B7" s="15">
        <v>90100</v>
      </c>
      <c r="C7" s="16">
        <v>37500</v>
      </c>
      <c r="D7" s="15">
        <v>152700</v>
      </c>
      <c r="E7" s="16">
        <v>68100</v>
      </c>
      <c r="F7" s="15">
        <v>334300</v>
      </c>
      <c r="G7" s="16">
        <v>300</v>
      </c>
      <c r="H7" s="16">
        <v>100</v>
      </c>
      <c r="I7" s="16">
        <v>0</v>
      </c>
      <c r="J7" s="16">
        <v>0</v>
      </c>
      <c r="K7" s="15">
        <v>4508800</v>
      </c>
      <c r="L7" s="15">
        <v>203400</v>
      </c>
      <c r="M7" s="16">
        <v>46500</v>
      </c>
      <c r="N7" s="17">
        <f t="shared" si="0"/>
        <v>5441800</v>
      </c>
      <c r="O7" s="20">
        <f t="shared" si="4"/>
        <v>1.6557021573743981E-2</v>
      </c>
      <c r="P7" s="20">
        <f t="shared" si="5"/>
        <v>6.8911022088279615E-3</v>
      </c>
      <c r="Q7" s="20">
        <f t="shared" si="2"/>
        <v>6.8911022088279615E-3</v>
      </c>
      <c r="R7" s="19">
        <f t="shared" si="3"/>
        <v>0.82854937704436027</v>
      </c>
    </row>
    <row r="8" spans="1:18" ht="22.5" customHeight="1" x14ac:dyDescent="0.25">
      <c r="A8" s="14" t="s">
        <v>48</v>
      </c>
      <c r="B8" s="15">
        <v>31600</v>
      </c>
      <c r="C8" s="16">
        <v>18400</v>
      </c>
      <c r="D8" s="15">
        <v>75300</v>
      </c>
      <c r="E8" s="16">
        <v>10900</v>
      </c>
      <c r="F8" s="15">
        <v>133600</v>
      </c>
      <c r="G8" s="16">
        <v>100</v>
      </c>
      <c r="H8" s="16">
        <v>0</v>
      </c>
      <c r="I8" s="16">
        <v>0</v>
      </c>
      <c r="J8" s="16">
        <v>0</v>
      </c>
      <c r="K8" s="15">
        <v>2612600</v>
      </c>
      <c r="L8" s="15">
        <v>42300</v>
      </c>
      <c r="M8" s="16">
        <v>20900</v>
      </c>
      <c r="N8" s="17">
        <f t="shared" si="0"/>
        <v>2945700</v>
      </c>
      <c r="O8" s="20">
        <f t="shared" si="4"/>
        <v>1.072750110330312E-2</v>
      </c>
      <c r="P8" s="20">
        <f t="shared" si="5"/>
        <v>6.246393047492956E-3</v>
      </c>
      <c r="Q8" s="20">
        <f t="shared" si="2"/>
        <v>6.246393047492956E-3</v>
      </c>
      <c r="R8" s="19">
        <f t="shared" si="3"/>
        <v>0.8869199171673966</v>
      </c>
    </row>
    <row r="9" spans="1:18" ht="22.5" customHeight="1" x14ac:dyDescent="0.25">
      <c r="A9" s="14" t="s">
        <v>49</v>
      </c>
      <c r="B9" s="15">
        <v>8400</v>
      </c>
      <c r="C9" s="16">
        <v>3800</v>
      </c>
      <c r="D9" s="15">
        <v>22900</v>
      </c>
      <c r="E9" s="16">
        <v>5100</v>
      </c>
      <c r="F9" s="15">
        <v>63900</v>
      </c>
      <c r="G9" s="16">
        <v>0</v>
      </c>
      <c r="H9" s="16">
        <v>0</v>
      </c>
      <c r="I9" s="16">
        <v>0</v>
      </c>
      <c r="J9" s="16">
        <v>0</v>
      </c>
      <c r="K9" s="15">
        <v>791300</v>
      </c>
      <c r="L9" s="15">
        <v>14200</v>
      </c>
      <c r="M9" s="16">
        <v>5100</v>
      </c>
      <c r="N9" s="17">
        <f t="shared" si="0"/>
        <v>914700</v>
      </c>
      <c r="O9" s="20">
        <f t="shared" si="4"/>
        <v>9.1833387996064289E-3</v>
      </c>
      <c r="P9" s="20">
        <f t="shared" si="5"/>
        <v>4.1543675522029084E-3</v>
      </c>
      <c r="Q9" s="20">
        <f t="shared" si="2"/>
        <v>4.1543675522029084E-3</v>
      </c>
      <c r="R9" s="19">
        <f t="shared" si="3"/>
        <v>0.86509238001530553</v>
      </c>
    </row>
    <row r="10" spans="1:18" ht="22.5" customHeight="1" x14ac:dyDescent="0.25">
      <c r="A10" s="14" t="s">
        <v>36</v>
      </c>
      <c r="B10" s="15">
        <v>8100</v>
      </c>
      <c r="C10" s="16">
        <v>3700</v>
      </c>
      <c r="D10" s="15">
        <v>18100</v>
      </c>
      <c r="E10" s="16">
        <v>400</v>
      </c>
      <c r="F10" s="15">
        <v>16800</v>
      </c>
      <c r="G10" s="16">
        <v>100</v>
      </c>
      <c r="H10" s="16">
        <v>0</v>
      </c>
      <c r="I10" s="16">
        <v>0</v>
      </c>
      <c r="J10" s="16">
        <v>0</v>
      </c>
      <c r="K10" s="15">
        <v>262500</v>
      </c>
      <c r="L10" s="15">
        <v>1800</v>
      </c>
      <c r="M10" s="16">
        <v>600</v>
      </c>
      <c r="N10" s="17">
        <f t="shared" si="0"/>
        <v>312100</v>
      </c>
      <c r="O10" s="20">
        <f t="shared" si="4"/>
        <v>2.5953220121755848E-2</v>
      </c>
      <c r="P10" s="20">
        <f t="shared" si="5"/>
        <v>1.1855174623518103E-2</v>
      </c>
      <c r="Q10" s="20">
        <f t="shared" si="2"/>
        <v>1.1855174623518103E-2</v>
      </c>
      <c r="R10" s="19">
        <f t="shared" si="3"/>
        <v>0.84107657801986546</v>
      </c>
    </row>
    <row r="11" spans="1:18" ht="22.5" customHeight="1" x14ac:dyDescent="0.25">
      <c r="A11" s="14" t="s">
        <v>3</v>
      </c>
      <c r="B11" s="15">
        <v>254900</v>
      </c>
      <c r="C11" s="16">
        <v>57300</v>
      </c>
      <c r="D11" s="15">
        <v>414500</v>
      </c>
      <c r="E11" s="16">
        <v>170500</v>
      </c>
      <c r="F11" s="15">
        <v>1101100</v>
      </c>
      <c r="G11" s="16">
        <v>400</v>
      </c>
      <c r="H11" s="16">
        <v>100</v>
      </c>
      <c r="I11" s="16">
        <v>0</v>
      </c>
      <c r="J11" s="16">
        <v>0</v>
      </c>
      <c r="K11" s="15">
        <v>16136500</v>
      </c>
      <c r="L11" s="15">
        <v>351800</v>
      </c>
      <c r="M11" s="16">
        <v>96100</v>
      </c>
      <c r="N11" s="17">
        <f t="shared" si="0"/>
        <v>18583200</v>
      </c>
      <c r="O11" s="20">
        <f t="shared" si="4"/>
        <v>1.3716690343966593E-2</v>
      </c>
      <c r="P11" s="20">
        <f t="shared" si="5"/>
        <v>3.0834301950148522E-3</v>
      </c>
      <c r="Q11" s="20">
        <f t="shared" si="2"/>
        <v>3.0834301950148522E-3</v>
      </c>
      <c r="R11" s="19">
        <f t="shared" si="3"/>
        <v>0.86833806879331865</v>
      </c>
    </row>
    <row r="12" spans="1:18" ht="22.5" customHeight="1" x14ac:dyDescent="0.25">
      <c r="A12" s="14" t="s">
        <v>50</v>
      </c>
      <c r="B12" s="15">
        <v>92400</v>
      </c>
      <c r="C12" s="16">
        <v>22700</v>
      </c>
      <c r="D12" s="15">
        <v>175300</v>
      </c>
      <c r="E12" s="16">
        <v>92500</v>
      </c>
      <c r="F12" s="15">
        <v>719400</v>
      </c>
      <c r="G12" s="16">
        <v>300</v>
      </c>
      <c r="H12" s="16">
        <v>200</v>
      </c>
      <c r="I12" s="16">
        <v>0</v>
      </c>
      <c r="J12" s="16">
        <v>0</v>
      </c>
      <c r="K12" s="15">
        <v>8256400</v>
      </c>
      <c r="L12" s="15">
        <v>206300</v>
      </c>
      <c r="M12" s="16">
        <v>76900</v>
      </c>
      <c r="N12" s="17">
        <f t="shared" si="0"/>
        <v>9642400</v>
      </c>
      <c r="O12" s="20">
        <f t="shared" si="4"/>
        <v>9.5826765120716837E-3</v>
      </c>
      <c r="P12" s="20">
        <f t="shared" si="5"/>
        <v>2.3541856799137143E-3</v>
      </c>
      <c r="Q12" s="20">
        <f t="shared" si="2"/>
        <v>2.3541856799137143E-3</v>
      </c>
      <c r="R12" s="19">
        <f t="shared" si="3"/>
        <v>0.85625985231892476</v>
      </c>
    </row>
    <row r="13" spans="1:18" ht="22.5" customHeight="1" x14ac:dyDescent="0.25">
      <c r="A13" s="14" t="s">
        <v>31</v>
      </c>
      <c r="B13" s="15">
        <v>25600</v>
      </c>
      <c r="C13" s="16">
        <v>7300</v>
      </c>
      <c r="D13" s="15">
        <v>36400</v>
      </c>
      <c r="E13" s="16">
        <v>3400</v>
      </c>
      <c r="F13" s="15">
        <v>37300</v>
      </c>
      <c r="G13" s="16">
        <v>0</v>
      </c>
      <c r="H13" s="16">
        <v>0</v>
      </c>
      <c r="I13" s="16">
        <v>0</v>
      </c>
      <c r="J13" s="16">
        <v>0</v>
      </c>
      <c r="K13" s="15">
        <v>951000</v>
      </c>
      <c r="L13" s="15">
        <v>15400</v>
      </c>
      <c r="M13" s="16">
        <v>3700</v>
      </c>
      <c r="N13" s="17">
        <f t="shared" si="0"/>
        <v>1080100</v>
      </c>
      <c r="O13" s="20">
        <f t="shared" si="4"/>
        <v>2.3701509119525972E-2</v>
      </c>
      <c r="P13" s="20">
        <f t="shared" si="5"/>
        <v>6.7586334598648276E-3</v>
      </c>
      <c r="Q13" s="20">
        <f t="shared" si="2"/>
        <v>6.7586334598648276E-3</v>
      </c>
      <c r="R13" s="19">
        <f t="shared" si="3"/>
        <v>0.88047403018239057</v>
      </c>
    </row>
    <row r="14" spans="1:18" ht="22.5" customHeight="1" x14ac:dyDescent="0.25">
      <c r="A14" s="14" t="s">
        <v>52</v>
      </c>
      <c r="B14" s="15">
        <v>8500</v>
      </c>
      <c r="C14" s="16">
        <v>4600</v>
      </c>
      <c r="D14" s="15">
        <v>43700</v>
      </c>
      <c r="E14" s="16">
        <v>45900</v>
      </c>
      <c r="F14" s="15">
        <v>132900</v>
      </c>
      <c r="G14" s="16">
        <v>100</v>
      </c>
      <c r="H14" s="16">
        <v>100</v>
      </c>
      <c r="I14" s="16">
        <v>0</v>
      </c>
      <c r="J14" s="16">
        <v>0</v>
      </c>
      <c r="K14" s="15">
        <v>1568600</v>
      </c>
      <c r="L14" s="15">
        <v>138600</v>
      </c>
      <c r="M14" s="16">
        <v>31600</v>
      </c>
      <c r="N14" s="17">
        <f t="shared" si="0"/>
        <v>1974600</v>
      </c>
      <c r="O14" s="20">
        <f t="shared" si="4"/>
        <v>4.3046693001114146E-3</v>
      </c>
      <c r="P14" s="20">
        <f t="shared" si="5"/>
        <v>2.3295857388838247E-3</v>
      </c>
      <c r="Q14" s="20">
        <f t="shared" si="2"/>
        <v>2.3295857388838247E-3</v>
      </c>
      <c r="R14" s="19">
        <f t="shared" si="3"/>
        <v>0.79438873695938417</v>
      </c>
    </row>
    <row r="15" spans="1:18" ht="22.5" customHeight="1" x14ac:dyDescent="0.25">
      <c r="A15" s="14" t="s">
        <v>53</v>
      </c>
      <c r="B15" s="15">
        <v>99600</v>
      </c>
      <c r="C15" s="16">
        <v>33400</v>
      </c>
      <c r="D15" s="15">
        <v>285400</v>
      </c>
      <c r="E15" s="16">
        <v>61500</v>
      </c>
      <c r="F15" s="15">
        <v>772900</v>
      </c>
      <c r="G15" s="16">
        <v>300</v>
      </c>
      <c r="H15" s="16">
        <v>0</v>
      </c>
      <c r="I15" s="16">
        <v>0</v>
      </c>
      <c r="J15" s="16">
        <v>0</v>
      </c>
      <c r="K15" s="15">
        <v>8560300</v>
      </c>
      <c r="L15" s="15">
        <v>170200</v>
      </c>
      <c r="M15" s="16">
        <v>59600</v>
      </c>
      <c r="N15" s="17">
        <f t="shared" si="0"/>
        <v>10043200</v>
      </c>
      <c r="O15" s="20">
        <f t="shared" si="4"/>
        <v>9.917157877967181E-3</v>
      </c>
      <c r="P15" s="20">
        <f t="shared" si="5"/>
        <v>3.3256332642982315E-3</v>
      </c>
      <c r="Q15" s="20">
        <f t="shared" si="2"/>
        <v>3.3256332642982315E-3</v>
      </c>
      <c r="R15" s="19">
        <f t="shared" si="3"/>
        <v>0.8523478572566513</v>
      </c>
    </row>
    <row r="16" spans="1:18" ht="22.5" customHeight="1" x14ac:dyDescent="0.25">
      <c r="A16" s="14" t="s">
        <v>54</v>
      </c>
      <c r="B16" s="15">
        <v>26100</v>
      </c>
      <c r="C16" s="16">
        <v>12900</v>
      </c>
      <c r="D16" s="15">
        <v>119100</v>
      </c>
      <c r="E16" s="16">
        <v>56300</v>
      </c>
      <c r="F16" s="15">
        <v>576300</v>
      </c>
      <c r="G16" s="16">
        <v>300</v>
      </c>
      <c r="H16" s="16">
        <v>0</v>
      </c>
      <c r="I16" s="16">
        <v>0</v>
      </c>
      <c r="J16" s="16">
        <v>0</v>
      </c>
      <c r="K16" s="15">
        <v>5166200</v>
      </c>
      <c r="L16" s="15">
        <v>156400</v>
      </c>
      <c r="M16" s="16">
        <v>58500</v>
      </c>
      <c r="N16" s="17">
        <f t="shared" si="0"/>
        <v>6172100</v>
      </c>
      <c r="O16" s="20">
        <f t="shared" si="4"/>
        <v>4.2287065990505666E-3</v>
      </c>
      <c r="P16" s="20">
        <f t="shared" si="5"/>
        <v>2.0900503880364866E-3</v>
      </c>
      <c r="Q16" s="20">
        <f t="shared" si="2"/>
        <v>2.0900503880364866E-3</v>
      </c>
      <c r="R16" s="19">
        <f t="shared" si="3"/>
        <v>0.83702467555613158</v>
      </c>
    </row>
    <row r="17" spans="1:18" ht="22.5" customHeight="1" x14ac:dyDescent="0.25">
      <c r="A17" s="14" t="s">
        <v>55</v>
      </c>
      <c r="B17" s="15">
        <v>9000</v>
      </c>
      <c r="C17" s="16">
        <v>6100</v>
      </c>
      <c r="D17" s="15">
        <v>57200</v>
      </c>
      <c r="E17" s="16">
        <v>41700</v>
      </c>
      <c r="F17" s="15">
        <v>331300</v>
      </c>
      <c r="G17" s="16">
        <v>100</v>
      </c>
      <c r="H17" s="16">
        <v>0</v>
      </c>
      <c r="I17" s="16">
        <v>0</v>
      </c>
      <c r="J17" s="16">
        <v>0</v>
      </c>
      <c r="K17" s="15">
        <v>2545400</v>
      </c>
      <c r="L17" s="15">
        <v>105000</v>
      </c>
      <c r="M17" s="16">
        <v>57500</v>
      </c>
      <c r="N17" s="17">
        <f t="shared" si="0"/>
        <v>3153300</v>
      </c>
      <c r="O17" s="20">
        <f t="shared" si="4"/>
        <v>2.8541527923128152E-3</v>
      </c>
      <c r="P17" s="20">
        <f t="shared" si="5"/>
        <v>1.9344813370120193E-3</v>
      </c>
      <c r="Q17" s="20">
        <f t="shared" si="2"/>
        <v>1.9344813370120193E-3</v>
      </c>
      <c r="R17" s="19">
        <f t="shared" si="3"/>
        <v>0.80721783528367108</v>
      </c>
    </row>
    <row r="18" spans="1:18" ht="22.5" customHeight="1" x14ac:dyDescent="0.25">
      <c r="A18" s="14" t="s">
        <v>56</v>
      </c>
      <c r="B18" s="15">
        <v>11300</v>
      </c>
      <c r="C18" s="16">
        <v>5600</v>
      </c>
      <c r="D18" s="15">
        <v>50400</v>
      </c>
      <c r="E18" s="16">
        <v>27900</v>
      </c>
      <c r="F18" s="15">
        <v>253500</v>
      </c>
      <c r="G18" s="16">
        <v>200</v>
      </c>
      <c r="H18" s="16">
        <v>100</v>
      </c>
      <c r="I18" s="16">
        <v>0</v>
      </c>
      <c r="J18" s="16">
        <v>0</v>
      </c>
      <c r="K18" s="15">
        <v>2168600</v>
      </c>
      <c r="L18" s="15">
        <v>87400</v>
      </c>
      <c r="M18" s="16">
        <v>16100</v>
      </c>
      <c r="N18" s="17">
        <f t="shared" si="0"/>
        <v>2621100</v>
      </c>
      <c r="O18" s="20">
        <f t="shared" si="4"/>
        <v>4.311167067261837E-3</v>
      </c>
      <c r="P18" s="20">
        <f t="shared" si="5"/>
        <v>2.1365075731563086E-3</v>
      </c>
      <c r="Q18" s="20">
        <f t="shared" si="2"/>
        <v>2.1365075731563086E-3</v>
      </c>
      <c r="R18" s="19">
        <f t="shared" si="3"/>
        <v>0.8273625577047804</v>
      </c>
    </row>
    <row r="19" spans="1:18" ht="22.5" customHeight="1" x14ac:dyDescent="0.25">
      <c r="A19" s="14" t="s">
        <v>57</v>
      </c>
      <c r="B19" s="15">
        <v>11600</v>
      </c>
      <c r="C19" s="16">
        <v>5600</v>
      </c>
      <c r="D19" s="15">
        <v>67100</v>
      </c>
      <c r="E19" s="16">
        <v>36900</v>
      </c>
      <c r="F19" s="15">
        <v>361200</v>
      </c>
      <c r="G19" s="16">
        <v>300</v>
      </c>
      <c r="H19" s="16">
        <v>0</v>
      </c>
      <c r="I19" s="16">
        <v>0</v>
      </c>
      <c r="J19" s="16">
        <v>0</v>
      </c>
      <c r="K19" s="15">
        <v>3415000</v>
      </c>
      <c r="L19" s="15">
        <v>117600</v>
      </c>
      <c r="M19" s="16">
        <v>24400</v>
      </c>
      <c r="N19" s="17">
        <f t="shared" si="0"/>
        <v>4039700</v>
      </c>
      <c r="O19" s="20">
        <f t="shared" si="4"/>
        <v>2.871500358937545E-3</v>
      </c>
      <c r="P19" s="20">
        <f t="shared" si="5"/>
        <v>1.3862415525905389E-3</v>
      </c>
      <c r="Q19" s="20">
        <f t="shared" si="2"/>
        <v>1.3862415525905389E-3</v>
      </c>
      <c r="R19" s="19">
        <f t="shared" si="3"/>
        <v>0.84535980394583754</v>
      </c>
    </row>
    <row r="20" spans="1:18" ht="22.5" customHeight="1" x14ac:dyDescent="0.25">
      <c r="A20" s="14" t="s">
        <v>58</v>
      </c>
      <c r="B20" s="15">
        <v>8200</v>
      </c>
      <c r="C20" s="16">
        <v>4000</v>
      </c>
      <c r="D20" s="15">
        <v>40200</v>
      </c>
      <c r="E20" s="16">
        <v>64200</v>
      </c>
      <c r="F20" s="15">
        <v>380100</v>
      </c>
      <c r="G20" s="16">
        <v>100</v>
      </c>
      <c r="H20" s="16">
        <v>0</v>
      </c>
      <c r="I20" s="16">
        <v>0</v>
      </c>
      <c r="J20" s="16">
        <v>0</v>
      </c>
      <c r="K20" s="15">
        <v>3142800</v>
      </c>
      <c r="L20" s="15">
        <v>115500</v>
      </c>
      <c r="M20" s="16">
        <v>19100</v>
      </c>
      <c r="N20" s="17">
        <f t="shared" si="0"/>
        <v>3774200</v>
      </c>
      <c r="O20" s="20">
        <f t="shared" si="4"/>
        <v>2.1726458587250277E-3</v>
      </c>
      <c r="P20" s="20">
        <f t="shared" si="5"/>
        <v>1.0598272481585501E-3</v>
      </c>
      <c r="Q20" s="20">
        <f t="shared" si="2"/>
        <v>1.0598272481585501E-3</v>
      </c>
      <c r="R20" s="19">
        <f t="shared" si="3"/>
        <v>0.83270626887817289</v>
      </c>
    </row>
    <row r="21" spans="1:18" ht="22.5" customHeight="1" x14ac:dyDescent="0.25">
      <c r="A21" s="14" t="s">
        <v>59</v>
      </c>
      <c r="B21" s="15">
        <v>7400</v>
      </c>
      <c r="C21" s="16">
        <v>7600</v>
      </c>
      <c r="D21" s="15">
        <v>33600</v>
      </c>
      <c r="E21" s="16">
        <v>12000</v>
      </c>
      <c r="F21" s="15">
        <v>104500</v>
      </c>
      <c r="G21" s="16">
        <v>0</v>
      </c>
      <c r="H21" s="16">
        <v>0</v>
      </c>
      <c r="I21" s="16">
        <v>0</v>
      </c>
      <c r="J21" s="16">
        <v>0</v>
      </c>
      <c r="K21" s="15">
        <v>1036100</v>
      </c>
      <c r="L21" s="15">
        <v>26900</v>
      </c>
      <c r="M21" s="16">
        <v>7900</v>
      </c>
      <c r="N21" s="17">
        <f t="shared" si="0"/>
        <v>1236000</v>
      </c>
      <c r="O21" s="20">
        <f t="shared" si="4"/>
        <v>5.9870550161812298E-3</v>
      </c>
      <c r="P21" s="20">
        <f t="shared" si="5"/>
        <v>6.1488673139158574E-3</v>
      </c>
      <c r="Q21" s="20">
        <f t="shared" si="2"/>
        <v>6.1488673139158574E-3</v>
      </c>
      <c r="R21" s="19">
        <f t="shared" si="3"/>
        <v>0.83826860841423945</v>
      </c>
    </row>
    <row r="22" spans="1:18" ht="22.5" customHeight="1" x14ac:dyDescent="0.25">
      <c r="A22" s="14" t="s">
        <v>60</v>
      </c>
      <c r="B22" s="15">
        <v>72100</v>
      </c>
      <c r="C22" s="16">
        <v>31300</v>
      </c>
      <c r="D22" s="15">
        <v>168700</v>
      </c>
      <c r="E22" s="16">
        <v>32100</v>
      </c>
      <c r="F22" s="15">
        <v>309300</v>
      </c>
      <c r="G22" s="16">
        <v>300</v>
      </c>
      <c r="H22" s="16">
        <v>0</v>
      </c>
      <c r="I22" s="16">
        <v>0</v>
      </c>
      <c r="J22" s="16">
        <v>0</v>
      </c>
      <c r="K22" s="15">
        <v>4327800</v>
      </c>
      <c r="L22" s="15">
        <v>86900</v>
      </c>
      <c r="M22" s="16">
        <v>31500</v>
      </c>
      <c r="N22" s="17">
        <f t="shared" si="0"/>
        <v>5060000</v>
      </c>
      <c r="O22" s="20">
        <f t="shared" si="4"/>
        <v>1.424901185770751E-2</v>
      </c>
      <c r="P22" s="20">
        <f t="shared" si="5"/>
        <v>6.1857707509881425E-3</v>
      </c>
      <c r="Q22" s="20">
        <f t="shared" si="2"/>
        <v>6.1857707509881425E-3</v>
      </c>
      <c r="R22" s="19">
        <f t="shared" si="3"/>
        <v>0.85529644268774707</v>
      </c>
    </row>
    <row r="23" spans="1:18" ht="22.5" customHeight="1" x14ac:dyDescent="0.25">
      <c r="A23" s="14" t="s">
        <v>61</v>
      </c>
      <c r="B23" s="15">
        <v>73800</v>
      </c>
      <c r="C23" s="16">
        <v>43800</v>
      </c>
      <c r="D23" s="15">
        <v>187300</v>
      </c>
      <c r="E23" s="16">
        <v>21300</v>
      </c>
      <c r="F23" s="15">
        <v>285000</v>
      </c>
      <c r="G23" s="16">
        <v>200</v>
      </c>
      <c r="H23" s="16">
        <v>0</v>
      </c>
      <c r="I23" s="16">
        <v>0</v>
      </c>
      <c r="J23" s="16">
        <v>0</v>
      </c>
      <c r="K23" s="15">
        <v>4791300</v>
      </c>
      <c r="L23" s="15">
        <v>58400</v>
      </c>
      <c r="M23" s="16">
        <v>30000</v>
      </c>
      <c r="N23" s="17">
        <f t="shared" si="0"/>
        <v>5491100</v>
      </c>
      <c r="O23" s="20">
        <f t="shared" si="4"/>
        <v>1.3439930068656554E-2</v>
      </c>
      <c r="P23" s="20">
        <f t="shared" si="5"/>
        <v>7.9765438618855967E-3</v>
      </c>
      <c r="Q23" s="20">
        <f t="shared" si="2"/>
        <v>7.9765438618855967E-3</v>
      </c>
      <c r="R23" s="19">
        <f t="shared" si="3"/>
        <v>0.87255741108338947</v>
      </c>
    </row>
    <row r="24" spans="1:18" ht="22.5" customHeight="1" x14ac:dyDescent="0.25">
      <c r="A24" s="14" t="s">
        <v>62</v>
      </c>
      <c r="B24" s="15">
        <v>50300</v>
      </c>
      <c r="C24" s="16">
        <v>29100</v>
      </c>
      <c r="D24" s="15">
        <v>148100</v>
      </c>
      <c r="E24" s="16">
        <v>70400</v>
      </c>
      <c r="F24" s="15">
        <v>873700</v>
      </c>
      <c r="G24" s="16">
        <v>300</v>
      </c>
      <c r="H24" s="16">
        <v>0</v>
      </c>
      <c r="I24" s="16">
        <v>0</v>
      </c>
      <c r="J24" s="16">
        <v>0</v>
      </c>
      <c r="K24" s="15">
        <v>7129600</v>
      </c>
      <c r="L24" s="15">
        <v>174500</v>
      </c>
      <c r="M24" s="16">
        <v>49400</v>
      </c>
      <c r="N24" s="17">
        <f t="shared" si="0"/>
        <v>8525400</v>
      </c>
      <c r="O24" s="20">
        <f t="shared" si="4"/>
        <v>5.9000164215168788E-3</v>
      </c>
      <c r="P24" s="20">
        <f t="shared" si="5"/>
        <v>3.4133295798437608E-3</v>
      </c>
      <c r="Q24" s="20">
        <f t="shared" si="2"/>
        <v>3.4133295798437608E-3</v>
      </c>
      <c r="R24" s="19">
        <f t="shared" si="3"/>
        <v>0.83627747671663499</v>
      </c>
    </row>
    <row r="25" spans="1:18" ht="22.5" customHeight="1" x14ac:dyDescent="0.25">
      <c r="A25" s="14" t="s">
        <v>63</v>
      </c>
      <c r="B25" s="15">
        <v>37100</v>
      </c>
      <c r="C25" s="16">
        <v>16100</v>
      </c>
      <c r="D25" s="15">
        <v>124500</v>
      </c>
      <c r="E25" s="16">
        <v>52700</v>
      </c>
      <c r="F25" s="15">
        <v>516400</v>
      </c>
      <c r="G25" s="16">
        <v>100</v>
      </c>
      <c r="H25" s="16">
        <v>0</v>
      </c>
      <c r="I25" s="16">
        <v>0</v>
      </c>
      <c r="J25" s="16">
        <v>0</v>
      </c>
      <c r="K25" s="15">
        <v>4219200</v>
      </c>
      <c r="L25" s="15">
        <v>127900</v>
      </c>
      <c r="M25" s="16">
        <v>24500</v>
      </c>
      <c r="N25" s="17">
        <f t="shared" si="0"/>
        <v>5118500</v>
      </c>
      <c r="O25" s="20">
        <f t="shared" si="4"/>
        <v>7.2482172511477974E-3</v>
      </c>
      <c r="P25" s="20">
        <f t="shared" si="5"/>
        <v>3.1454527693660253E-3</v>
      </c>
      <c r="Q25" s="20">
        <f t="shared" si="2"/>
        <v>3.1454527693660253E-3</v>
      </c>
      <c r="R25" s="19">
        <f t="shared" si="3"/>
        <v>0.8243039953111263</v>
      </c>
    </row>
    <row r="26" spans="1:18" ht="22.5" customHeight="1" x14ac:dyDescent="0.25">
      <c r="A26" s="14" t="s">
        <v>64</v>
      </c>
      <c r="B26" s="15">
        <v>3600</v>
      </c>
      <c r="C26" s="16">
        <v>2000</v>
      </c>
      <c r="D26" s="15">
        <v>28200</v>
      </c>
      <c r="E26" s="16">
        <v>34900</v>
      </c>
      <c r="F26" s="15">
        <v>295200</v>
      </c>
      <c r="G26" s="16">
        <v>100</v>
      </c>
      <c r="H26" s="16">
        <v>0</v>
      </c>
      <c r="I26" s="16">
        <v>0</v>
      </c>
      <c r="J26" s="16">
        <v>0</v>
      </c>
      <c r="K26" s="15">
        <v>2275600</v>
      </c>
      <c r="L26" s="15">
        <v>75200</v>
      </c>
      <c r="M26" s="16">
        <v>8500</v>
      </c>
      <c r="N26" s="17">
        <f t="shared" si="0"/>
        <v>2723300</v>
      </c>
      <c r="O26" s="20">
        <f t="shared" si="4"/>
        <v>1.321925604964565E-3</v>
      </c>
      <c r="P26" s="20">
        <f t="shared" si="5"/>
        <v>7.3440311386920281E-4</v>
      </c>
      <c r="Q26" s="20">
        <f t="shared" si="2"/>
        <v>7.3440311386920281E-4</v>
      </c>
      <c r="R26" s="19">
        <f t="shared" si="3"/>
        <v>0.83560386296037892</v>
      </c>
    </row>
    <row r="27" spans="1:18" ht="22.5" customHeight="1" x14ac:dyDescent="0.25">
      <c r="A27" s="14" t="s">
        <v>65</v>
      </c>
      <c r="B27" s="15">
        <v>26900</v>
      </c>
      <c r="C27" s="16">
        <v>13900</v>
      </c>
      <c r="D27" s="15">
        <v>113900</v>
      </c>
      <c r="E27" s="16">
        <v>70400</v>
      </c>
      <c r="F27" s="15">
        <v>575500</v>
      </c>
      <c r="G27" s="16">
        <v>900</v>
      </c>
      <c r="H27" s="16">
        <v>100</v>
      </c>
      <c r="I27" s="16">
        <v>0</v>
      </c>
      <c r="J27" s="16">
        <v>0</v>
      </c>
      <c r="K27" s="15">
        <v>4608600</v>
      </c>
      <c r="L27" s="15">
        <v>178200</v>
      </c>
      <c r="M27" s="16">
        <v>37600</v>
      </c>
      <c r="N27" s="17">
        <f t="shared" si="0"/>
        <v>5626000</v>
      </c>
      <c r="O27" s="20">
        <f t="shared" si="4"/>
        <v>4.7813722004976895E-3</v>
      </c>
      <c r="P27" s="20">
        <f t="shared" si="5"/>
        <v>2.4706718805545679E-3</v>
      </c>
      <c r="Q27" s="20">
        <f t="shared" si="2"/>
        <v>2.4706718805545679E-3</v>
      </c>
      <c r="R27" s="19">
        <f t="shared" si="3"/>
        <v>0.81916103803768214</v>
      </c>
    </row>
    <row r="28" spans="1:18" ht="22.5" customHeight="1" x14ac:dyDescent="0.25">
      <c r="A28" s="14" t="s">
        <v>66</v>
      </c>
      <c r="B28" s="15">
        <v>4600</v>
      </c>
      <c r="C28" s="16">
        <v>2500</v>
      </c>
      <c r="D28" s="15">
        <v>21100</v>
      </c>
      <c r="E28" s="16">
        <v>37900</v>
      </c>
      <c r="F28" s="15">
        <v>94500</v>
      </c>
      <c r="G28" s="16">
        <v>0</v>
      </c>
      <c r="H28" s="16">
        <v>0</v>
      </c>
      <c r="I28" s="16">
        <v>0</v>
      </c>
      <c r="J28" s="16">
        <v>0</v>
      </c>
      <c r="K28" s="15">
        <v>780700</v>
      </c>
      <c r="L28" s="15">
        <v>69600</v>
      </c>
      <c r="M28" s="16">
        <v>10800</v>
      </c>
      <c r="N28" s="17">
        <f t="shared" si="0"/>
        <v>1021700</v>
      </c>
      <c r="O28" s="20">
        <f t="shared" si="4"/>
        <v>4.50230008808848E-3</v>
      </c>
      <c r="P28" s="20">
        <f t="shared" si="5"/>
        <v>2.4469022217872174E-3</v>
      </c>
      <c r="Q28" s="20">
        <f t="shared" si="2"/>
        <v>2.4469022217872174E-3</v>
      </c>
      <c r="R28" s="19">
        <f t="shared" si="3"/>
        <v>0.76411862581971224</v>
      </c>
    </row>
    <row r="29" spans="1:18" ht="22.5" customHeight="1" x14ac:dyDescent="0.25">
      <c r="A29" s="14" t="s">
        <v>67</v>
      </c>
      <c r="B29" s="15">
        <v>6900</v>
      </c>
      <c r="C29" s="16">
        <v>3800</v>
      </c>
      <c r="D29" s="15">
        <v>32600</v>
      </c>
      <c r="E29" s="16">
        <v>28900</v>
      </c>
      <c r="F29" s="15">
        <v>197100</v>
      </c>
      <c r="G29" s="16">
        <v>100</v>
      </c>
      <c r="H29" s="16">
        <v>0</v>
      </c>
      <c r="I29" s="16">
        <v>0</v>
      </c>
      <c r="J29" s="16">
        <v>0</v>
      </c>
      <c r="K29" s="15">
        <v>1600400</v>
      </c>
      <c r="L29" s="15">
        <v>76100</v>
      </c>
      <c r="M29" s="16">
        <v>25300</v>
      </c>
      <c r="N29" s="17">
        <f t="shared" si="0"/>
        <v>1971200</v>
      </c>
      <c r="O29" s="20">
        <f t="shared" si="4"/>
        <v>3.500405844155844E-3</v>
      </c>
      <c r="P29" s="20">
        <f t="shared" si="5"/>
        <v>1.9277597402597403E-3</v>
      </c>
      <c r="Q29" s="20">
        <f t="shared" si="2"/>
        <v>1.9277597402597403E-3</v>
      </c>
      <c r="R29" s="19">
        <f t="shared" si="3"/>
        <v>0.81189123376623373</v>
      </c>
    </row>
    <row r="30" spans="1:18" ht="22.5" customHeight="1" x14ac:dyDescent="0.25">
      <c r="A30" s="14" t="s">
        <v>17</v>
      </c>
      <c r="B30" s="15">
        <v>47400</v>
      </c>
      <c r="C30" s="16">
        <v>10600</v>
      </c>
      <c r="D30" s="15">
        <v>69600</v>
      </c>
      <c r="E30" s="16">
        <v>27200</v>
      </c>
      <c r="F30" s="15">
        <v>125600</v>
      </c>
      <c r="G30" s="16">
        <v>200</v>
      </c>
      <c r="H30" s="16">
        <v>100</v>
      </c>
      <c r="I30" s="16">
        <v>0</v>
      </c>
      <c r="J30" s="16">
        <v>0</v>
      </c>
      <c r="K30" s="15">
        <v>2169300</v>
      </c>
      <c r="L30" s="15">
        <v>85800</v>
      </c>
      <c r="M30" s="16">
        <v>20300</v>
      </c>
      <c r="N30" s="17">
        <f t="shared" si="0"/>
        <v>2556100</v>
      </c>
      <c r="O30" s="20">
        <f t="shared" si="4"/>
        <v>1.8543875435233365E-2</v>
      </c>
      <c r="P30" s="20">
        <f t="shared" si="5"/>
        <v>4.1469426078791912E-3</v>
      </c>
      <c r="Q30" s="20">
        <f t="shared" si="2"/>
        <v>4.1469426078791912E-3</v>
      </c>
      <c r="R30" s="19">
        <f t="shared" si="3"/>
        <v>0.84867571691248389</v>
      </c>
    </row>
    <row r="31" spans="1:18" ht="22.5" customHeight="1" x14ac:dyDescent="0.25">
      <c r="A31" s="14" t="s">
        <v>68</v>
      </c>
      <c r="B31" s="15">
        <v>9900</v>
      </c>
      <c r="C31" s="16">
        <v>6600</v>
      </c>
      <c r="D31" s="15">
        <v>36800</v>
      </c>
      <c r="E31" s="16">
        <v>13900</v>
      </c>
      <c r="F31" s="15">
        <v>89600</v>
      </c>
      <c r="G31" s="16">
        <v>100</v>
      </c>
      <c r="H31" s="16">
        <v>0</v>
      </c>
      <c r="I31" s="16">
        <v>0</v>
      </c>
      <c r="J31" s="16">
        <v>0</v>
      </c>
      <c r="K31" s="15">
        <v>1185300</v>
      </c>
      <c r="L31" s="15">
        <v>29200</v>
      </c>
      <c r="M31" s="16">
        <v>12300</v>
      </c>
      <c r="N31" s="17">
        <f t="shared" si="0"/>
        <v>1383700</v>
      </c>
      <c r="O31" s="20">
        <f t="shared" si="4"/>
        <v>7.1547300715473008E-3</v>
      </c>
      <c r="P31" s="20">
        <f t="shared" si="5"/>
        <v>4.7698200476982006E-3</v>
      </c>
      <c r="Q31" s="20">
        <f t="shared" si="2"/>
        <v>4.7698200476982006E-3</v>
      </c>
      <c r="R31" s="19">
        <f t="shared" si="3"/>
        <v>0.85661631856616316</v>
      </c>
    </row>
    <row r="32" spans="1:18" ht="22.5" customHeight="1" x14ac:dyDescent="0.25">
      <c r="A32" s="14" t="s">
        <v>69</v>
      </c>
      <c r="B32" s="15">
        <v>134800</v>
      </c>
      <c r="C32" s="16">
        <v>40900</v>
      </c>
      <c r="D32" s="15">
        <v>174200</v>
      </c>
      <c r="E32" s="16">
        <v>27800</v>
      </c>
      <c r="F32" s="15">
        <v>392100</v>
      </c>
      <c r="G32" s="16">
        <v>300</v>
      </c>
      <c r="H32" s="16">
        <v>0</v>
      </c>
      <c r="I32" s="16">
        <v>0</v>
      </c>
      <c r="J32" s="16">
        <v>0</v>
      </c>
      <c r="K32" s="15">
        <v>6433000</v>
      </c>
      <c r="L32" s="15">
        <v>84600</v>
      </c>
      <c r="M32" s="16">
        <v>36400</v>
      </c>
      <c r="N32" s="17">
        <f t="shared" si="0"/>
        <v>7324100</v>
      </c>
      <c r="O32" s="20">
        <f t="shared" si="4"/>
        <v>1.8404991739599405E-2</v>
      </c>
      <c r="P32" s="20">
        <f t="shared" si="5"/>
        <v>5.5843038735134696E-3</v>
      </c>
      <c r="Q32" s="20">
        <f t="shared" si="2"/>
        <v>5.5843038735134696E-3</v>
      </c>
      <c r="R32" s="19">
        <f t="shared" si="3"/>
        <v>0.87833317404186184</v>
      </c>
    </row>
    <row r="33" spans="1:18" ht="22.5" customHeight="1" x14ac:dyDescent="0.25">
      <c r="A33" s="14" t="s">
        <v>70</v>
      </c>
      <c r="B33" s="15">
        <v>10300</v>
      </c>
      <c r="C33" s="16">
        <v>4900</v>
      </c>
      <c r="D33" s="15">
        <v>44300</v>
      </c>
      <c r="E33" s="16">
        <v>32100</v>
      </c>
      <c r="F33" s="15">
        <v>151600</v>
      </c>
      <c r="G33" s="16">
        <v>100</v>
      </c>
      <c r="H33" s="16">
        <v>100</v>
      </c>
      <c r="I33" s="16">
        <v>0</v>
      </c>
      <c r="J33" s="16">
        <v>0</v>
      </c>
      <c r="K33" s="15">
        <v>1597600</v>
      </c>
      <c r="L33" s="15">
        <v>88500</v>
      </c>
      <c r="M33" s="16">
        <v>22900</v>
      </c>
      <c r="N33" s="17">
        <f t="shared" si="0"/>
        <v>1952400</v>
      </c>
      <c r="O33" s="20">
        <f t="shared" si="4"/>
        <v>5.2755582872362223E-3</v>
      </c>
      <c r="P33" s="20">
        <f t="shared" si="5"/>
        <v>2.5097316123745134E-3</v>
      </c>
      <c r="Q33" s="20">
        <f t="shared" si="2"/>
        <v>2.5097316123745134E-3</v>
      </c>
      <c r="R33" s="19">
        <f t="shared" si="3"/>
        <v>0.81827494365908626</v>
      </c>
    </row>
    <row r="34" spans="1:18" ht="22.5" customHeight="1" x14ac:dyDescent="0.25">
      <c r="A34" s="14" t="s">
        <v>4</v>
      </c>
      <c r="B34" s="15">
        <v>131300</v>
      </c>
      <c r="C34" s="16">
        <v>92300</v>
      </c>
      <c r="D34" s="15">
        <v>314000</v>
      </c>
      <c r="E34" s="16">
        <v>54300</v>
      </c>
      <c r="F34" s="15">
        <v>591100</v>
      </c>
      <c r="G34" s="16">
        <v>400</v>
      </c>
      <c r="H34" s="16">
        <v>100</v>
      </c>
      <c r="I34" s="16">
        <v>0</v>
      </c>
      <c r="J34" s="16">
        <v>0</v>
      </c>
      <c r="K34" s="15">
        <v>9905500</v>
      </c>
      <c r="L34" s="15">
        <v>150500</v>
      </c>
      <c r="M34" s="16">
        <v>79100</v>
      </c>
      <c r="N34" s="17">
        <f t="shared" si="0"/>
        <v>11318600</v>
      </c>
      <c r="O34" s="20">
        <f t="shared" si="4"/>
        <v>1.1600374604633082E-2</v>
      </c>
      <c r="P34" s="20">
        <f t="shared" si="5"/>
        <v>8.1547187814747409E-3</v>
      </c>
      <c r="Q34" s="20">
        <f t="shared" si="2"/>
        <v>8.1547187814747409E-3</v>
      </c>
      <c r="R34" s="19">
        <f t="shared" si="3"/>
        <v>0.87515240400756278</v>
      </c>
    </row>
    <row r="35" spans="1:18" ht="22.5" customHeight="1" x14ac:dyDescent="0.25">
      <c r="A35" s="14" t="s">
        <v>71</v>
      </c>
      <c r="B35" s="15">
        <v>70200</v>
      </c>
      <c r="C35" s="16">
        <v>23700</v>
      </c>
      <c r="D35" s="15">
        <v>210600</v>
      </c>
      <c r="E35" s="16">
        <v>80200</v>
      </c>
      <c r="F35" s="15">
        <v>655000</v>
      </c>
      <c r="G35" s="16">
        <v>300</v>
      </c>
      <c r="H35" s="16">
        <v>100</v>
      </c>
      <c r="I35" s="16">
        <v>0</v>
      </c>
      <c r="J35" s="16">
        <v>0</v>
      </c>
      <c r="K35" s="15">
        <v>7764000</v>
      </c>
      <c r="L35" s="15">
        <v>209700</v>
      </c>
      <c r="M35" s="16">
        <v>71700</v>
      </c>
      <c r="N35" s="17">
        <f t="shared" si="0"/>
        <v>9085500</v>
      </c>
      <c r="O35" s="20">
        <f t="shared" si="4"/>
        <v>7.7265973254086184E-3</v>
      </c>
      <c r="P35" s="20">
        <f t="shared" si="5"/>
        <v>2.608552088492653E-3</v>
      </c>
      <c r="Q35" s="20">
        <f t="shared" si="2"/>
        <v>2.608552088492653E-3</v>
      </c>
      <c r="R35" s="19">
        <f t="shared" si="3"/>
        <v>0.85454845633151721</v>
      </c>
    </row>
    <row r="36" spans="1:18" ht="22.5" customHeight="1" x14ac:dyDescent="0.25">
      <c r="A36" s="14" t="s">
        <v>72</v>
      </c>
      <c r="B36" s="15">
        <v>1000</v>
      </c>
      <c r="C36" s="16">
        <v>800</v>
      </c>
      <c r="D36" s="15">
        <v>8200</v>
      </c>
      <c r="E36" s="16">
        <v>20400</v>
      </c>
      <c r="F36" s="15">
        <v>89900</v>
      </c>
      <c r="G36" s="16">
        <v>0</v>
      </c>
      <c r="H36" s="16">
        <v>0</v>
      </c>
      <c r="I36" s="16">
        <v>0</v>
      </c>
      <c r="J36" s="16">
        <v>0</v>
      </c>
      <c r="K36" s="15">
        <v>625300</v>
      </c>
      <c r="L36" s="15">
        <v>44600</v>
      </c>
      <c r="M36" s="16">
        <v>7200</v>
      </c>
      <c r="N36" s="17">
        <f t="shared" si="0"/>
        <v>797400</v>
      </c>
      <c r="O36" s="20">
        <f t="shared" si="4"/>
        <v>1.2540757461750689E-3</v>
      </c>
      <c r="P36" s="20">
        <f t="shared" si="5"/>
        <v>1.0032605969400551E-3</v>
      </c>
      <c r="Q36" s="20">
        <f t="shared" si="2"/>
        <v>1.0032605969400551E-3</v>
      </c>
      <c r="R36" s="19">
        <f t="shared" si="3"/>
        <v>0.78417356408327066</v>
      </c>
    </row>
    <row r="37" spans="1:18" ht="22.5" customHeight="1" x14ac:dyDescent="0.25">
      <c r="A37" s="14" t="s">
        <v>73</v>
      </c>
      <c r="B37" s="15">
        <v>50400</v>
      </c>
      <c r="C37" s="16">
        <v>24000</v>
      </c>
      <c r="D37" s="15">
        <v>199800</v>
      </c>
      <c r="E37" s="16">
        <v>70300</v>
      </c>
      <c r="F37" s="15">
        <v>833500</v>
      </c>
      <c r="G37" s="16">
        <v>700</v>
      </c>
      <c r="H37" s="16">
        <v>100</v>
      </c>
      <c r="I37" s="16">
        <v>0</v>
      </c>
      <c r="J37" s="16">
        <v>0</v>
      </c>
      <c r="K37" s="15">
        <v>8881400</v>
      </c>
      <c r="L37" s="15">
        <v>196200</v>
      </c>
      <c r="M37" s="16">
        <v>60900</v>
      </c>
      <c r="N37" s="17">
        <f t="shared" si="0"/>
        <v>10317300</v>
      </c>
      <c r="O37" s="20">
        <f t="shared" si="4"/>
        <v>4.8849989822918787E-3</v>
      </c>
      <c r="P37" s="20">
        <f t="shared" si="5"/>
        <v>2.3261899915675613E-3</v>
      </c>
      <c r="Q37" s="20">
        <f t="shared" si="2"/>
        <v>2.3261899915675613E-3</v>
      </c>
      <c r="R37" s="19">
        <f t="shared" si="3"/>
        <v>0.86082599129617243</v>
      </c>
    </row>
    <row r="38" spans="1:18" ht="22.5" customHeight="1" x14ac:dyDescent="0.25">
      <c r="A38" s="14" t="s">
        <v>74</v>
      </c>
      <c r="B38" s="15">
        <v>22800</v>
      </c>
      <c r="C38" s="16">
        <v>33000</v>
      </c>
      <c r="D38" s="15">
        <v>56400</v>
      </c>
      <c r="E38" s="16">
        <v>63100</v>
      </c>
      <c r="F38" s="15">
        <v>352400</v>
      </c>
      <c r="G38" s="16">
        <v>1800</v>
      </c>
      <c r="H38" s="16">
        <v>200</v>
      </c>
      <c r="I38" s="16">
        <v>0</v>
      </c>
      <c r="J38" s="16">
        <v>0</v>
      </c>
      <c r="K38" s="15">
        <v>3567500</v>
      </c>
      <c r="L38" s="15">
        <v>145700</v>
      </c>
      <c r="M38" s="16">
        <v>45000</v>
      </c>
      <c r="N38" s="17">
        <f t="shared" si="0"/>
        <v>4287900</v>
      </c>
      <c r="O38" s="20">
        <f t="shared" si="4"/>
        <v>5.3172881830266562E-3</v>
      </c>
      <c r="P38" s="20">
        <f t="shared" si="5"/>
        <v>7.6960750017491079E-3</v>
      </c>
      <c r="Q38" s="20">
        <f t="shared" si="2"/>
        <v>7.6960750017491079E-3</v>
      </c>
      <c r="R38" s="19">
        <f t="shared" si="3"/>
        <v>0.83199235056787701</v>
      </c>
    </row>
    <row r="39" spans="1:18" ht="22.5" customHeight="1" x14ac:dyDescent="0.25">
      <c r="A39" s="14" t="s">
        <v>75</v>
      </c>
      <c r="B39" s="15">
        <v>64400</v>
      </c>
      <c r="C39" s="16">
        <v>28800</v>
      </c>
      <c r="D39" s="15">
        <v>156900</v>
      </c>
      <c r="E39" s="16">
        <v>55500</v>
      </c>
      <c r="F39" s="15">
        <v>184600</v>
      </c>
      <c r="G39" s="16">
        <v>100</v>
      </c>
      <c r="H39" s="16">
        <v>100</v>
      </c>
      <c r="I39" s="16">
        <v>0</v>
      </c>
      <c r="J39" s="16">
        <v>0</v>
      </c>
      <c r="K39" s="15">
        <v>3074300</v>
      </c>
      <c r="L39" s="15">
        <v>217000</v>
      </c>
      <c r="M39" s="16">
        <v>51000</v>
      </c>
      <c r="N39" s="17">
        <f t="shared" si="0"/>
        <v>3832700</v>
      </c>
      <c r="O39" s="20">
        <f t="shared" si="4"/>
        <v>1.6802776110835704E-2</v>
      </c>
      <c r="P39" s="20">
        <f t="shared" si="5"/>
        <v>7.5142849688209353E-3</v>
      </c>
      <c r="Q39" s="20">
        <f t="shared" si="2"/>
        <v>7.5142849688209353E-3</v>
      </c>
      <c r="R39" s="19">
        <f t="shared" si="3"/>
        <v>0.80212382915438207</v>
      </c>
    </row>
    <row r="40" spans="1:18" ht="22.5" customHeight="1" x14ac:dyDescent="0.25">
      <c r="A40" s="14" t="s">
        <v>76</v>
      </c>
      <c r="B40" s="15">
        <v>70200</v>
      </c>
      <c r="C40" s="16">
        <v>38900</v>
      </c>
      <c r="D40" s="15">
        <v>245400</v>
      </c>
      <c r="E40" s="16">
        <v>73900</v>
      </c>
      <c r="F40" s="15">
        <v>661700</v>
      </c>
      <c r="G40" s="16">
        <v>500</v>
      </c>
      <c r="H40" s="16">
        <v>100</v>
      </c>
      <c r="I40" s="16">
        <v>0</v>
      </c>
      <c r="J40" s="16">
        <v>0</v>
      </c>
      <c r="K40" s="15">
        <v>8886400</v>
      </c>
      <c r="L40" s="15">
        <v>192100</v>
      </c>
      <c r="M40" s="16">
        <v>41800</v>
      </c>
      <c r="N40" s="17">
        <f t="shared" si="0"/>
        <v>10211000</v>
      </c>
      <c r="O40" s="20">
        <f t="shared" si="4"/>
        <v>6.8749387914993632E-3</v>
      </c>
      <c r="P40" s="20">
        <f t="shared" si="5"/>
        <v>3.8096170796200176E-3</v>
      </c>
      <c r="Q40" s="20">
        <f t="shared" si="2"/>
        <v>3.8096170796200176E-3</v>
      </c>
      <c r="R40" s="19">
        <f t="shared" si="3"/>
        <v>0.87027715209088241</v>
      </c>
    </row>
    <row r="41" spans="1:18" ht="22.5" customHeight="1" x14ac:dyDescent="0.25">
      <c r="A41" s="14" t="s">
        <v>77</v>
      </c>
      <c r="B41" s="15">
        <v>6400</v>
      </c>
      <c r="C41" s="16">
        <v>5100</v>
      </c>
      <c r="D41" s="15">
        <v>22100</v>
      </c>
      <c r="E41" s="16">
        <v>3100</v>
      </c>
      <c r="F41" s="15">
        <v>41900</v>
      </c>
      <c r="G41" s="16">
        <v>0</v>
      </c>
      <c r="H41" s="16">
        <v>0</v>
      </c>
      <c r="I41" s="16">
        <v>0</v>
      </c>
      <c r="J41" s="16">
        <v>0</v>
      </c>
      <c r="K41" s="15">
        <v>782000</v>
      </c>
      <c r="L41" s="15">
        <v>11000</v>
      </c>
      <c r="M41" s="16">
        <v>6000</v>
      </c>
      <c r="N41" s="17">
        <f t="shared" si="0"/>
        <v>877600</v>
      </c>
      <c r="O41" s="20">
        <f t="shared" si="4"/>
        <v>7.2926162260711028E-3</v>
      </c>
      <c r="P41" s="20">
        <f t="shared" si="5"/>
        <v>5.8113035551504103E-3</v>
      </c>
      <c r="Q41" s="20">
        <f t="shared" si="2"/>
        <v>5.8113035551504103E-3</v>
      </c>
      <c r="R41" s="19">
        <f t="shared" si="3"/>
        <v>0.89106654512306294</v>
      </c>
    </row>
    <row r="42" spans="1:18" ht="22.5" customHeight="1" x14ac:dyDescent="0.25">
      <c r="A42" s="14" t="s">
        <v>78</v>
      </c>
      <c r="B42" s="15">
        <v>20900</v>
      </c>
      <c r="C42" s="16">
        <v>9000</v>
      </c>
      <c r="D42" s="15">
        <v>83100</v>
      </c>
      <c r="E42" s="16">
        <v>44600</v>
      </c>
      <c r="F42" s="15">
        <v>404600</v>
      </c>
      <c r="G42" s="16">
        <v>100</v>
      </c>
      <c r="H42" s="16">
        <v>100</v>
      </c>
      <c r="I42" s="16">
        <v>0</v>
      </c>
      <c r="J42" s="16">
        <v>0</v>
      </c>
      <c r="K42" s="15">
        <v>4325000</v>
      </c>
      <c r="L42" s="15">
        <v>110100</v>
      </c>
      <c r="M42" s="16">
        <v>44900</v>
      </c>
      <c r="N42" s="17">
        <f t="shared" si="0"/>
        <v>5042400</v>
      </c>
      <c r="O42" s="20">
        <f t="shared" si="4"/>
        <v>4.1448516579406635E-3</v>
      </c>
      <c r="P42" s="20">
        <f t="shared" si="5"/>
        <v>1.7848643503093765E-3</v>
      </c>
      <c r="Q42" s="20">
        <f t="shared" si="2"/>
        <v>1.7848643503093765E-3</v>
      </c>
      <c r="R42" s="19">
        <f t="shared" si="3"/>
        <v>0.8577264794542282</v>
      </c>
    </row>
    <row r="43" spans="1:18" ht="22.5" customHeight="1" x14ac:dyDescent="0.25">
      <c r="A43" s="14" t="s">
        <v>79</v>
      </c>
      <c r="B43" s="15">
        <v>1700</v>
      </c>
      <c r="C43" s="16">
        <v>1300</v>
      </c>
      <c r="D43" s="15">
        <v>11900</v>
      </c>
      <c r="E43" s="16">
        <v>21500</v>
      </c>
      <c r="F43" s="15">
        <v>98800</v>
      </c>
      <c r="G43" s="16">
        <v>0</v>
      </c>
      <c r="H43" s="16">
        <v>0</v>
      </c>
      <c r="I43" s="16">
        <v>0</v>
      </c>
      <c r="J43" s="16">
        <v>0</v>
      </c>
      <c r="K43" s="15">
        <v>718300</v>
      </c>
      <c r="L43" s="15">
        <v>51200</v>
      </c>
      <c r="M43" s="16">
        <v>13300</v>
      </c>
      <c r="N43" s="17">
        <f t="shared" si="0"/>
        <v>918000</v>
      </c>
      <c r="O43" s="20">
        <f t="shared" si="4"/>
        <v>1.8518518518518519E-3</v>
      </c>
      <c r="P43" s="20">
        <f t="shared" si="5"/>
        <v>1.4161220043572985E-3</v>
      </c>
      <c r="Q43" s="20">
        <f t="shared" si="2"/>
        <v>1.4161220043572985E-3</v>
      </c>
      <c r="R43" s="19">
        <f t="shared" si="3"/>
        <v>0.78246187363834419</v>
      </c>
    </row>
    <row r="44" spans="1:18" ht="22.5" customHeight="1" x14ac:dyDescent="0.25">
      <c r="A44" s="14" t="s">
        <v>80</v>
      </c>
      <c r="B44" s="15">
        <v>33200</v>
      </c>
      <c r="C44" s="16">
        <v>11000</v>
      </c>
      <c r="D44" s="15">
        <v>113300</v>
      </c>
      <c r="E44" s="16">
        <v>53100</v>
      </c>
      <c r="F44" s="15">
        <v>509000</v>
      </c>
      <c r="G44" s="16">
        <v>200</v>
      </c>
      <c r="H44" s="16">
        <v>100</v>
      </c>
      <c r="I44" s="16">
        <v>0</v>
      </c>
      <c r="J44" s="16">
        <v>0</v>
      </c>
      <c r="K44" s="15">
        <v>5620500</v>
      </c>
      <c r="L44" s="15">
        <v>160700</v>
      </c>
      <c r="M44" s="16">
        <v>37700</v>
      </c>
      <c r="N44" s="17">
        <f t="shared" si="0"/>
        <v>6538800</v>
      </c>
      <c r="O44" s="20">
        <f t="shared" si="4"/>
        <v>5.0773842295222362E-3</v>
      </c>
      <c r="P44" s="20">
        <f t="shared" si="5"/>
        <v>1.6822658591790544E-3</v>
      </c>
      <c r="Q44" s="20">
        <f t="shared" si="2"/>
        <v>1.6822658591790544E-3</v>
      </c>
      <c r="R44" s="19">
        <f t="shared" si="3"/>
        <v>0.85956138741053401</v>
      </c>
    </row>
    <row r="45" spans="1:18" ht="22.5" customHeight="1" x14ac:dyDescent="0.25">
      <c r="A45" s="14" t="s">
        <v>5</v>
      </c>
      <c r="B45" s="15">
        <v>230100</v>
      </c>
      <c r="C45" s="16">
        <v>55300</v>
      </c>
      <c r="D45" s="15">
        <v>445100</v>
      </c>
      <c r="E45" s="16">
        <v>460700</v>
      </c>
      <c r="F45" s="15">
        <v>2315400</v>
      </c>
      <c r="G45" s="16">
        <v>1300</v>
      </c>
      <c r="H45" s="16">
        <v>1300</v>
      </c>
      <c r="I45" s="16">
        <v>0</v>
      </c>
      <c r="J45" s="16">
        <v>0</v>
      </c>
      <c r="K45" s="15">
        <v>21392800</v>
      </c>
      <c r="L45" s="15">
        <v>772800</v>
      </c>
      <c r="M45" s="16">
        <v>121800</v>
      </c>
      <c r="N45" s="17">
        <f t="shared" si="0"/>
        <v>25796600</v>
      </c>
      <c r="O45" s="20">
        <f t="shared" si="4"/>
        <v>8.9197801260631239E-3</v>
      </c>
      <c r="P45" s="20">
        <f t="shared" si="5"/>
        <v>2.1436933549382475E-3</v>
      </c>
      <c r="Q45" s="20">
        <f t="shared" si="2"/>
        <v>2.1436933549382475E-3</v>
      </c>
      <c r="R45" s="19">
        <f t="shared" si="3"/>
        <v>0.82928758053386875</v>
      </c>
    </row>
    <row r="46" spans="1:18" ht="22.5" customHeight="1" x14ac:dyDescent="0.25">
      <c r="A46" s="14" t="s">
        <v>81</v>
      </c>
      <c r="B46" s="15">
        <v>40000</v>
      </c>
      <c r="C46" s="16">
        <v>13000</v>
      </c>
      <c r="D46" s="15">
        <v>83200</v>
      </c>
      <c r="E46" s="16">
        <v>68500</v>
      </c>
      <c r="F46" s="15">
        <v>185200</v>
      </c>
      <c r="G46" s="16">
        <v>2200</v>
      </c>
      <c r="H46" s="16">
        <v>500</v>
      </c>
      <c r="I46" s="16">
        <v>0</v>
      </c>
      <c r="J46" s="16">
        <v>0</v>
      </c>
      <c r="K46" s="15">
        <v>2499600</v>
      </c>
      <c r="L46" s="15">
        <v>158000</v>
      </c>
      <c r="M46" s="16">
        <v>26000</v>
      </c>
      <c r="N46" s="17">
        <f t="shared" si="0"/>
        <v>3076200</v>
      </c>
      <c r="O46" s="20">
        <f t="shared" si="4"/>
        <v>1.3003055718093752E-2</v>
      </c>
      <c r="P46" s="20">
        <f t="shared" si="5"/>
        <v>4.2259931083804695E-3</v>
      </c>
      <c r="Q46" s="20">
        <f t="shared" si="2"/>
        <v>4.2259931083804695E-3</v>
      </c>
      <c r="R46" s="19">
        <f t="shared" si="3"/>
        <v>0.8125609518236786</v>
      </c>
    </row>
    <row r="47" spans="1:18" ht="22.5" customHeight="1" x14ac:dyDescent="0.25">
      <c r="A47" s="14" t="s">
        <v>82</v>
      </c>
      <c r="B47" s="15">
        <v>7800</v>
      </c>
      <c r="C47" s="16">
        <v>5700</v>
      </c>
      <c r="D47" s="15">
        <v>20300</v>
      </c>
      <c r="E47" s="16">
        <v>7000</v>
      </c>
      <c r="F47" s="15">
        <v>36600</v>
      </c>
      <c r="G47" s="16">
        <v>0</v>
      </c>
      <c r="H47" s="16">
        <v>0</v>
      </c>
      <c r="I47" s="16">
        <v>0</v>
      </c>
      <c r="J47" s="16">
        <v>0</v>
      </c>
      <c r="K47" s="15">
        <v>496000</v>
      </c>
      <c r="L47" s="15">
        <v>14700</v>
      </c>
      <c r="M47" s="16">
        <v>5000</v>
      </c>
      <c r="N47" s="17">
        <f t="shared" si="0"/>
        <v>593100</v>
      </c>
      <c r="O47" s="20">
        <f t="shared" si="4"/>
        <v>1.3151239251390997E-2</v>
      </c>
      <c r="P47" s="20">
        <f t="shared" si="5"/>
        <v>9.6105209914011131E-3</v>
      </c>
      <c r="Q47" s="20">
        <f t="shared" si="2"/>
        <v>9.6105209914011131E-3</v>
      </c>
      <c r="R47" s="19">
        <f t="shared" si="3"/>
        <v>0.83628393188332495</v>
      </c>
    </row>
    <row r="48" spans="1:18" ht="22.5" customHeight="1" x14ac:dyDescent="0.25">
      <c r="A48" s="14" t="s">
        <v>83</v>
      </c>
      <c r="B48" s="15">
        <v>84900</v>
      </c>
      <c r="C48" s="16">
        <v>26800</v>
      </c>
      <c r="D48" s="15">
        <v>229400</v>
      </c>
      <c r="E48" s="16">
        <v>44300</v>
      </c>
      <c r="F48" s="15">
        <v>484800</v>
      </c>
      <c r="G48" s="16">
        <v>300</v>
      </c>
      <c r="H48" s="16">
        <v>0</v>
      </c>
      <c r="I48" s="16">
        <v>0</v>
      </c>
      <c r="J48" s="16">
        <v>0</v>
      </c>
      <c r="K48" s="15">
        <v>6670000</v>
      </c>
      <c r="L48" s="15">
        <v>152800</v>
      </c>
      <c r="M48" s="16">
        <v>30200</v>
      </c>
      <c r="N48" s="17">
        <f t="shared" si="0"/>
        <v>7723500</v>
      </c>
      <c r="O48" s="20">
        <f t="shared" si="4"/>
        <v>1.0992425713730821E-2</v>
      </c>
      <c r="P48" s="20">
        <f t="shared" si="5"/>
        <v>3.4699294361364664E-3</v>
      </c>
      <c r="Q48" s="20">
        <f t="shared" si="2"/>
        <v>3.4699294361364664E-3</v>
      </c>
      <c r="R48" s="19">
        <f t="shared" si="3"/>
        <v>0.86359810966530715</v>
      </c>
    </row>
    <row r="49" spans="1:18" ht="22.5" customHeight="1" x14ac:dyDescent="0.25">
      <c r="A49" s="14" t="s">
        <v>28</v>
      </c>
      <c r="B49" s="15">
        <v>152100</v>
      </c>
      <c r="C49" s="16">
        <v>41200</v>
      </c>
      <c r="D49" s="15">
        <v>307200</v>
      </c>
      <c r="E49" s="16">
        <v>73800</v>
      </c>
      <c r="F49" s="15">
        <v>337700</v>
      </c>
      <c r="G49" s="16">
        <v>100</v>
      </c>
      <c r="H49" s="16">
        <v>100</v>
      </c>
      <c r="I49" s="16">
        <v>0</v>
      </c>
      <c r="J49" s="16">
        <v>0</v>
      </c>
      <c r="K49" s="15">
        <v>5583000</v>
      </c>
      <c r="L49" s="15">
        <v>274200</v>
      </c>
      <c r="M49" s="16">
        <v>46700</v>
      </c>
      <c r="N49" s="17">
        <f t="shared" si="0"/>
        <v>6816100</v>
      </c>
      <c r="O49" s="20">
        <f t="shared" si="4"/>
        <v>2.2314813456375347E-2</v>
      </c>
      <c r="P49" s="20">
        <f t="shared" si="5"/>
        <v>6.0445122577426971E-3</v>
      </c>
      <c r="Q49" s="20">
        <f t="shared" si="2"/>
        <v>6.0445122577426971E-3</v>
      </c>
      <c r="R49" s="19">
        <f t="shared" si="3"/>
        <v>0.81909009550916212</v>
      </c>
    </row>
    <row r="50" spans="1:18" ht="22.5" customHeight="1" x14ac:dyDescent="0.25">
      <c r="A50" s="14" t="s">
        <v>84</v>
      </c>
      <c r="B50" s="15">
        <v>2800</v>
      </c>
      <c r="C50" s="16">
        <v>1800</v>
      </c>
      <c r="D50" s="15">
        <v>22400</v>
      </c>
      <c r="E50" s="16">
        <v>17300</v>
      </c>
      <c r="F50" s="15">
        <v>123400</v>
      </c>
      <c r="G50" s="16">
        <v>100</v>
      </c>
      <c r="H50" s="16">
        <v>0</v>
      </c>
      <c r="I50" s="16">
        <v>0</v>
      </c>
      <c r="J50" s="16">
        <v>0</v>
      </c>
      <c r="K50" s="15">
        <v>1281500</v>
      </c>
      <c r="L50" s="15">
        <v>46400</v>
      </c>
      <c r="M50" s="16">
        <v>15200</v>
      </c>
      <c r="N50" s="17">
        <f t="shared" si="0"/>
        <v>1510900</v>
      </c>
      <c r="O50" s="20">
        <f t="shared" si="4"/>
        <v>1.8532000794228606E-3</v>
      </c>
      <c r="P50" s="20">
        <f t="shared" si="5"/>
        <v>1.1913429082004105E-3</v>
      </c>
      <c r="Q50" s="20">
        <f t="shared" si="2"/>
        <v>1.1913429082004105E-3</v>
      </c>
      <c r="R50" s="19">
        <f t="shared" si="3"/>
        <v>0.84816996492156993</v>
      </c>
    </row>
    <row r="51" spans="1:18" ht="22.5" customHeight="1" x14ac:dyDescent="0.25">
      <c r="A51" s="14" t="s">
        <v>85</v>
      </c>
      <c r="B51" s="15">
        <v>24900</v>
      </c>
      <c r="C51" s="16">
        <v>12500</v>
      </c>
      <c r="D51" s="15">
        <v>123600</v>
      </c>
      <c r="E51" s="16">
        <v>52900</v>
      </c>
      <c r="F51" s="15">
        <v>536200</v>
      </c>
      <c r="G51" s="16">
        <v>300</v>
      </c>
      <c r="H51" s="16">
        <v>0</v>
      </c>
      <c r="I51" s="16">
        <v>0</v>
      </c>
      <c r="J51" s="16">
        <v>0</v>
      </c>
      <c r="K51" s="15">
        <v>4604700</v>
      </c>
      <c r="L51" s="15">
        <v>147500</v>
      </c>
      <c r="M51" s="16">
        <v>26400</v>
      </c>
      <c r="N51" s="17">
        <f t="shared" si="0"/>
        <v>5529000</v>
      </c>
      <c r="O51" s="20">
        <f t="shared" si="4"/>
        <v>4.5035268583830711E-3</v>
      </c>
      <c r="P51" s="20">
        <f t="shared" si="5"/>
        <v>2.2608066558147946E-3</v>
      </c>
      <c r="Q51" s="20">
        <f t="shared" si="2"/>
        <v>2.2608066558147946E-3</v>
      </c>
      <c r="R51" s="19">
        <f t="shared" si="3"/>
        <v>0.83282691264243081</v>
      </c>
    </row>
    <row r="52" spans="1:18" ht="22.5" customHeight="1" x14ac:dyDescent="0.25">
      <c r="A52" s="14" t="s">
        <v>86</v>
      </c>
      <c r="B52" s="15">
        <v>1100</v>
      </c>
      <c r="C52" s="16">
        <v>800</v>
      </c>
      <c r="D52" s="15">
        <v>8400</v>
      </c>
      <c r="E52" s="16">
        <v>21200</v>
      </c>
      <c r="F52" s="15">
        <v>57700</v>
      </c>
      <c r="G52" s="16">
        <v>0</v>
      </c>
      <c r="H52" s="16">
        <v>0</v>
      </c>
      <c r="I52" s="16">
        <v>0</v>
      </c>
      <c r="J52" s="16">
        <v>0</v>
      </c>
      <c r="K52" s="15">
        <v>489100</v>
      </c>
      <c r="L52" s="15">
        <v>60900</v>
      </c>
      <c r="M52" s="16">
        <v>13700</v>
      </c>
      <c r="N52" s="17">
        <f t="shared" si="0"/>
        <v>652900</v>
      </c>
      <c r="O52" s="20">
        <f t="shared" si="4"/>
        <v>1.6847909327615256E-3</v>
      </c>
      <c r="P52" s="20">
        <f t="shared" si="5"/>
        <v>1.2253024965538366E-3</v>
      </c>
      <c r="Q52" s="20">
        <f t="shared" si="2"/>
        <v>1.2253024965538366E-3</v>
      </c>
      <c r="R52" s="19">
        <f t="shared" si="3"/>
        <v>0.74911931383060193</v>
      </c>
    </row>
    <row r="53" spans="1:18" ht="22.5" customHeight="1" x14ac:dyDescent="0.25">
      <c r="A53" s="21"/>
      <c r="B53" s="17">
        <f>SUM(State_Fuel_Types[Electric (EV)])</f>
        <v>3555900</v>
      </c>
      <c r="C53" s="22">
        <f>SUM(State_Fuel_Types[Plug-In Hybrid Electric (PHEV)])</f>
        <v>1307200</v>
      </c>
      <c r="D53" s="17">
        <f>SUM(State_Fuel_Types[Hybrid Electric (HEV)])</f>
        <v>7392300</v>
      </c>
      <c r="E53" s="22">
        <f>SUM(State_Fuel_Types[Biodiesel])</f>
        <v>2803600</v>
      </c>
      <c r="F53" s="17">
        <f>SUM(State_Fuel_Types[Ethanol/Flex (E85)])</f>
        <v>20240600</v>
      </c>
      <c r="G53" s="22">
        <f>SUM(State_Fuel_Types[Compressed Natural Gas (CNG)])</f>
        <v>24700</v>
      </c>
      <c r="H53" s="22">
        <f>SUM(State_Fuel_Types[Propane])</f>
        <v>6000</v>
      </c>
      <c r="I53" s="22">
        <f>SUM(State_Fuel_Types[Hydrogen])</f>
        <v>16900</v>
      </c>
      <c r="J53" s="22">
        <f>SUM(State_Fuel_Types[Methanol])</f>
        <v>0</v>
      </c>
      <c r="K53" s="17">
        <f>SUM(State_Fuel_Types[Gasoline])</f>
        <v>242870900</v>
      </c>
      <c r="L53" s="17">
        <f>SUM(State_Fuel_Types[Diesel])</f>
        <v>7184300</v>
      </c>
      <c r="M53" s="22">
        <f>SUM(State_Fuel_Types[Unknown Fuel])</f>
        <v>1694100</v>
      </c>
      <c r="N53" s="17">
        <f>SUM(State_Fuel_Types[Total Vehicle per State])</f>
        <v>287096500</v>
      </c>
      <c r="O53" s="21"/>
      <c r="P53" s="21"/>
      <c r="Q53" s="21"/>
      <c r="R53" s="23"/>
    </row>
  </sheetData>
  <dataValidations count="1">
    <dataValidation type="custom" allowBlank="1" showDropDown="1" sqref="B2:M52 O2:R52">
      <formula1>AND(ISNUMBER(B2),(NOT(OR(NOT(ISERROR(DATEVALUE(B2))), AND(ISNUMBER(B2), LEFT(CELL("format", B2))="D")))))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26"/>
  <sheetViews>
    <sheetView tabSelected="1" workbookViewId="0">
      <selection activeCell="C18" sqref="C18"/>
    </sheetView>
  </sheetViews>
  <sheetFormatPr defaultColWidth="12.6640625" defaultRowHeight="15.75" customHeight="1" x14ac:dyDescent="0.25"/>
  <cols>
    <col min="1" max="1" width="31.6640625" customWidth="1"/>
    <col min="2" max="2" width="11.109375" bestFit="1" customWidth="1"/>
    <col min="3" max="3" width="20.44140625" customWidth="1"/>
  </cols>
  <sheetData>
    <row r="1" spans="1:5" ht="36" customHeight="1" x14ac:dyDescent="0.65">
      <c r="A1" s="25" t="s">
        <v>0</v>
      </c>
      <c r="B1" s="26"/>
      <c r="C1" s="26"/>
      <c r="D1" s="26"/>
      <c r="E1" s="26"/>
    </row>
    <row r="2" spans="1:5" ht="13.2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13.2" x14ac:dyDescent="0.25">
      <c r="A3" s="2" t="s">
        <v>6</v>
      </c>
      <c r="B3" s="3">
        <v>36850300</v>
      </c>
      <c r="C3" s="3">
        <v>18583200</v>
      </c>
      <c r="D3" s="3">
        <v>11318600</v>
      </c>
      <c r="E3" s="3">
        <v>25796600</v>
      </c>
    </row>
    <row r="4" spans="1:5" ht="13.2" x14ac:dyDescent="0.25">
      <c r="A4" s="1" t="s">
        <v>7</v>
      </c>
      <c r="B4" s="4">
        <v>1256600</v>
      </c>
      <c r="C4" s="4">
        <v>254900</v>
      </c>
      <c r="D4" s="4">
        <v>131300</v>
      </c>
      <c r="E4" s="4">
        <v>230100</v>
      </c>
    </row>
    <row r="5" spans="1:5" ht="13.2" x14ac:dyDescent="0.25">
      <c r="A5" s="5" t="s">
        <v>8</v>
      </c>
      <c r="B5" s="6">
        <f t="shared" ref="B5:E5" si="0">B4/B3</f>
        <v>3.410012944263683E-2</v>
      </c>
      <c r="C5" s="6">
        <f t="shared" si="0"/>
        <v>1.3716690343966593E-2</v>
      </c>
      <c r="D5" s="6">
        <f t="shared" si="0"/>
        <v>1.1600374604633082E-2</v>
      </c>
      <c r="E5" s="6">
        <f t="shared" si="0"/>
        <v>8.9197801260631239E-3</v>
      </c>
    </row>
    <row r="6" spans="1:5" ht="13.2" x14ac:dyDescent="0.25">
      <c r="A6" s="5"/>
      <c r="B6" s="6"/>
      <c r="C6" s="6"/>
      <c r="D6" s="6"/>
      <c r="E6" s="6"/>
    </row>
    <row r="7" spans="1:5" ht="13.2" x14ac:dyDescent="0.25">
      <c r="A7" s="5"/>
      <c r="B7" s="6"/>
      <c r="C7" s="6"/>
      <c r="D7" s="6"/>
      <c r="E7" s="6"/>
    </row>
    <row r="8" spans="1:5" ht="13.2" x14ac:dyDescent="0.25">
      <c r="A8" s="5"/>
      <c r="B8" s="7"/>
      <c r="C8" s="7"/>
      <c r="D8" s="7"/>
      <c r="E8" s="7"/>
    </row>
    <row r="12" spans="1:5" ht="31.5" customHeight="1" x14ac:dyDescent="0.55000000000000004">
      <c r="A12" s="27" t="s">
        <v>9</v>
      </c>
      <c r="B12" s="26"/>
      <c r="C12" s="26"/>
    </row>
    <row r="13" spans="1:5" ht="13.2" x14ac:dyDescent="0.25">
      <c r="C13" s="1" t="s">
        <v>10</v>
      </c>
    </row>
    <row r="14" spans="1:5" ht="13.2" x14ac:dyDescent="0.25">
      <c r="A14" s="1" t="s">
        <v>11</v>
      </c>
      <c r="B14" s="8">
        <f>SUM(State_Fuel_Types[Electric (EV)])</f>
        <v>3555900</v>
      </c>
      <c r="C14" s="9">
        <f t="shared" ref="C14:C25" si="1">B14/$B$26</f>
        <v>1.2385730930192461E-2</v>
      </c>
    </row>
    <row r="15" spans="1:5" ht="13.2" x14ac:dyDescent="0.25">
      <c r="A15" s="1" t="s">
        <v>12</v>
      </c>
      <c r="B15" s="11">
        <f>SUM(State_Fuel_Types[Plug-In Hybrid Electric (PHEV)])</f>
        <v>1307200</v>
      </c>
      <c r="C15" s="9">
        <f t="shared" si="1"/>
        <v>4.5531728878617471E-3</v>
      </c>
    </row>
    <row r="16" spans="1:5" ht="13.2" x14ac:dyDescent="0.25">
      <c r="A16" s="1" t="s">
        <v>15</v>
      </c>
      <c r="B16" s="8">
        <f>SUM(State_Fuel_Types[Hybrid Electric (HEV)])</f>
        <v>7392300</v>
      </c>
      <c r="C16" s="9">
        <f t="shared" si="1"/>
        <v>2.5748485265407278E-2</v>
      </c>
    </row>
    <row r="17" spans="1:3" ht="13.2" x14ac:dyDescent="0.25">
      <c r="A17" s="1" t="s">
        <v>23</v>
      </c>
      <c r="B17" s="11">
        <f>SUM(State_Fuel_Types[Biodiesel])</f>
        <v>2803600</v>
      </c>
      <c r="C17" s="9">
        <f t="shared" si="1"/>
        <v>9.7653576410719044E-3</v>
      </c>
    </row>
    <row r="18" spans="1:3" ht="13.2" x14ac:dyDescent="0.25">
      <c r="A18" s="1" t="s">
        <v>29</v>
      </c>
      <c r="B18" s="8">
        <f>SUM(State_Fuel_Types[Ethanol/Flex (E85)])</f>
        <v>20240600</v>
      </c>
      <c r="C18" s="9">
        <f t="shared" si="1"/>
        <v>7.0501033624582682E-2</v>
      </c>
    </row>
    <row r="19" spans="1:3" ht="13.2" x14ac:dyDescent="0.25">
      <c r="A19" s="1" t="s">
        <v>34</v>
      </c>
      <c r="B19" s="11">
        <f>SUM(State_Fuel_Types[Compressed Natural Gas (CNG)])</f>
        <v>24700</v>
      </c>
      <c r="C19" s="9">
        <f t="shared" si="1"/>
        <v>8.6033790032271381E-5</v>
      </c>
    </row>
    <row r="20" spans="1:3" ht="13.2" x14ac:dyDescent="0.25">
      <c r="A20" s="1" t="s">
        <v>37</v>
      </c>
      <c r="B20" s="11">
        <f>SUM(State_Fuel_Types[Propane])</f>
        <v>6000</v>
      </c>
      <c r="C20" s="9">
        <f t="shared" si="1"/>
        <v>2.0898896364114503E-5</v>
      </c>
    </row>
    <row r="21" spans="1:3" ht="13.2" x14ac:dyDescent="0.25">
      <c r="A21" s="1" t="s">
        <v>38</v>
      </c>
      <c r="B21" s="11">
        <f>SUM(State_Fuel_Types[Hydrogen])</f>
        <v>16900</v>
      </c>
      <c r="C21" s="9">
        <f t="shared" si="1"/>
        <v>5.8865224758922519E-5</v>
      </c>
    </row>
    <row r="22" spans="1:3" ht="13.2" x14ac:dyDescent="0.25">
      <c r="A22" s="1" t="s">
        <v>39</v>
      </c>
      <c r="B22" s="11">
        <f>SUM(State_Fuel_Types[Methanol])</f>
        <v>0</v>
      </c>
      <c r="C22" s="9">
        <f t="shared" si="1"/>
        <v>0</v>
      </c>
    </row>
    <row r="23" spans="1:3" ht="13.2" x14ac:dyDescent="0.25">
      <c r="A23" s="1" t="s">
        <v>40</v>
      </c>
      <c r="B23" s="8">
        <f>SUM(State_Fuel_Types[Gasoline])</f>
        <v>242870900</v>
      </c>
      <c r="C23" s="9">
        <f t="shared" si="1"/>
        <v>0.84595562815986958</v>
      </c>
    </row>
    <row r="24" spans="1:3" ht="13.2" x14ac:dyDescent="0.25">
      <c r="A24" s="1" t="s">
        <v>41</v>
      </c>
      <c r="B24" s="8">
        <f>SUM(State_Fuel_Types[Diesel])</f>
        <v>7184300</v>
      </c>
      <c r="C24" s="9">
        <f t="shared" si="1"/>
        <v>2.5023990191451306E-2</v>
      </c>
    </row>
    <row r="25" spans="1:3" ht="13.2" x14ac:dyDescent="0.25">
      <c r="A25" s="1" t="s">
        <v>42</v>
      </c>
      <c r="B25" s="11">
        <f>SUM(State_Fuel_Types[Unknown Fuel])</f>
        <v>1694100</v>
      </c>
      <c r="C25" s="9">
        <f t="shared" si="1"/>
        <v>5.9008033884077309E-3</v>
      </c>
    </row>
    <row r="26" spans="1:3" ht="13.2" x14ac:dyDescent="0.25">
      <c r="A26" s="5" t="s">
        <v>43</v>
      </c>
      <c r="B26" s="8">
        <f>SUM(State_Fuel_Types[Total Vehicle per State])</f>
        <v>287096500</v>
      </c>
      <c r="C26" s="9"/>
    </row>
  </sheetData>
  <mergeCells count="2">
    <mergeCell ref="A1:E1"/>
    <mergeCell ref="A12:C12"/>
  </mergeCells>
  <conditionalFormatting sqref="B5:E5">
    <cfRule type="colorScale" priority="1">
      <colorScale>
        <cfvo type="min"/>
        <cfvo type="max"/>
        <color rgb="FFB7E1CD"/>
        <color rgb="FF57BB8A"/>
      </colorScale>
    </cfRule>
  </conditionalFormatting>
  <conditionalFormatting sqref="C14:C25">
    <cfRule type="expression" dxfId="9" priority="2">
      <formula>B14&gt;=LARGE($B$14:$B$25, 3)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55"/>
  <sheetViews>
    <sheetView topLeftCell="A22" workbookViewId="0">
      <selection activeCell="A38" sqref="A38"/>
    </sheetView>
  </sheetViews>
  <sheetFormatPr defaultRowHeight="13.2" x14ac:dyDescent="0.25"/>
  <cols>
    <col min="1" max="1" width="17" customWidth="1"/>
    <col min="2" max="2" width="19.109375" customWidth="1"/>
    <col min="3" max="3" width="21.33203125" bestFit="1" customWidth="1"/>
    <col min="4" max="4" width="20.88671875" bestFit="1" customWidth="1"/>
    <col min="5" max="5" width="24.33203125" bestFit="1" customWidth="1"/>
    <col min="6" max="6" width="10" bestFit="1" customWidth="1"/>
    <col min="7" max="10" width="12" bestFit="1" customWidth="1"/>
    <col min="11" max="11" width="10" bestFit="1" customWidth="1"/>
    <col min="12" max="16" width="12" bestFit="1" customWidth="1"/>
    <col min="17" max="17" width="10" bestFit="1" customWidth="1"/>
    <col min="18" max="27" width="12" bestFit="1" customWidth="1"/>
    <col min="28" max="28" width="11" bestFit="1" customWidth="1"/>
    <col min="29" max="31" width="12" bestFit="1" customWidth="1"/>
    <col min="32" max="32" width="11" bestFit="1" customWidth="1"/>
    <col min="33" max="40" width="12" bestFit="1" customWidth="1"/>
    <col min="41" max="42" width="11" bestFit="1" customWidth="1"/>
    <col min="43" max="50" width="12" bestFit="1" customWidth="1"/>
    <col min="51" max="51" width="11" bestFit="1" customWidth="1"/>
    <col min="52" max="53" width="12" bestFit="1" customWidth="1"/>
  </cols>
  <sheetData>
    <row r="3" spans="1:5" x14ac:dyDescent="0.25">
      <c r="A3" s="30" t="s">
        <v>87</v>
      </c>
      <c r="B3" s="29" t="s">
        <v>89</v>
      </c>
      <c r="C3" s="40" t="s">
        <v>90</v>
      </c>
      <c r="D3" s="40" t="s">
        <v>91</v>
      </c>
      <c r="E3" s="38" t="s">
        <v>92</v>
      </c>
    </row>
    <row r="4" spans="1:5" x14ac:dyDescent="0.25">
      <c r="A4" s="33" t="s">
        <v>35</v>
      </c>
      <c r="B4" s="31">
        <v>2.6882276308443104E-3</v>
      </c>
      <c r="C4" s="32">
        <v>1.1993630968382307E-3</v>
      </c>
      <c r="D4" s="32">
        <v>1.1993630968382307E-3</v>
      </c>
      <c r="E4" s="41">
        <v>0.84828056824996378</v>
      </c>
    </row>
    <row r="5" spans="1:5" x14ac:dyDescent="0.25">
      <c r="A5" s="34" t="s">
        <v>44</v>
      </c>
      <c r="B5" s="42">
        <v>4.8231511254019296E-3</v>
      </c>
      <c r="C5" s="43">
        <v>1.6077170418006431E-3</v>
      </c>
      <c r="D5" s="43">
        <v>1.6077170418006431E-3</v>
      </c>
      <c r="E5" s="44">
        <v>0.81153983565559129</v>
      </c>
    </row>
    <row r="6" spans="1:5" x14ac:dyDescent="0.25">
      <c r="A6" s="34" t="s">
        <v>45</v>
      </c>
      <c r="B6" s="42">
        <v>1.3754020523816817E-2</v>
      </c>
      <c r="C6" s="43">
        <v>3.9209679889722774E-3</v>
      </c>
      <c r="D6" s="43">
        <v>3.9209679889722774E-3</v>
      </c>
      <c r="E6" s="44">
        <v>0.83764741920661667</v>
      </c>
    </row>
    <row r="7" spans="1:5" x14ac:dyDescent="0.25">
      <c r="A7" s="34" t="s">
        <v>46</v>
      </c>
      <c r="B7" s="42">
        <v>2.6215707270243328E-3</v>
      </c>
      <c r="C7" s="43">
        <v>1.1815530037292768E-3</v>
      </c>
      <c r="D7" s="43">
        <v>1.1815530037292768E-3</v>
      </c>
      <c r="E7" s="44">
        <v>0.82933943802385257</v>
      </c>
    </row>
    <row r="8" spans="1:5" x14ac:dyDescent="0.25">
      <c r="A8" s="34" t="s">
        <v>2</v>
      </c>
      <c r="B8" s="42">
        <v>3.410012944263683E-2</v>
      </c>
      <c r="C8" s="43">
        <v>1.1145092441581208E-2</v>
      </c>
      <c r="D8" s="43">
        <v>1.1145092441581208E-2</v>
      </c>
      <c r="E8" s="44">
        <v>0.84644901126992178</v>
      </c>
    </row>
    <row r="9" spans="1:5" x14ac:dyDescent="0.25">
      <c r="A9" s="34" t="s">
        <v>47</v>
      </c>
      <c r="B9" s="42">
        <v>1.6557021573743981E-2</v>
      </c>
      <c r="C9" s="43">
        <v>6.8911022088279615E-3</v>
      </c>
      <c r="D9" s="43">
        <v>6.8911022088279615E-3</v>
      </c>
      <c r="E9" s="44">
        <v>0.82854937704436027</v>
      </c>
    </row>
    <row r="10" spans="1:5" x14ac:dyDescent="0.25">
      <c r="A10" s="34" t="s">
        <v>48</v>
      </c>
      <c r="B10" s="42">
        <v>1.072750110330312E-2</v>
      </c>
      <c r="C10" s="43">
        <v>6.246393047492956E-3</v>
      </c>
      <c r="D10" s="43">
        <v>6.246393047492956E-3</v>
      </c>
      <c r="E10" s="44">
        <v>0.8869199171673966</v>
      </c>
    </row>
    <row r="11" spans="1:5" x14ac:dyDescent="0.25">
      <c r="A11" s="34" t="s">
        <v>49</v>
      </c>
      <c r="B11" s="42">
        <v>9.1833387996064289E-3</v>
      </c>
      <c r="C11" s="43">
        <v>4.1543675522029084E-3</v>
      </c>
      <c r="D11" s="43">
        <v>4.1543675522029084E-3</v>
      </c>
      <c r="E11" s="44">
        <v>0.86509238001530553</v>
      </c>
    </row>
    <row r="12" spans="1:5" x14ac:dyDescent="0.25">
      <c r="A12" s="34" t="s">
        <v>36</v>
      </c>
      <c r="B12" s="42">
        <v>2.5953220121755848E-2</v>
      </c>
      <c r="C12" s="43">
        <v>1.1855174623518103E-2</v>
      </c>
      <c r="D12" s="43">
        <v>1.1855174623518103E-2</v>
      </c>
      <c r="E12" s="44">
        <v>0.84107657801986546</v>
      </c>
    </row>
    <row r="13" spans="1:5" x14ac:dyDescent="0.25">
      <c r="A13" s="34" t="s">
        <v>3</v>
      </c>
      <c r="B13" s="42">
        <v>1.3716690343966593E-2</v>
      </c>
      <c r="C13" s="43">
        <v>3.0834301950148522E-3</v>
      </c>
      <c r="D13" s="43">
        <v>3.0834301950148522E-3</v>
      </c>
      <c r="E13" s="44">
        <v>0.86833806879331865</v>
      </c>
    </row>
    <row r="14" spans="1:5" x14ac:dyDescent="0.25">
      <c r="A14" s="34" t="s">
        <v>50</v>
      </c>
      <c r="B14" s="42">
        <v>9.5826765120716837E-3</v>
      </c>
      <c r="C14" s="43">
        <v>2.3541856799137143E-3</v>
      </c>
      <c r="D14" s="43">
        <v>2.3541856799137143E-3</v>
      </c>
      <c r="E14" s="44">
        <v>0.85625985231892476</v>
      </c>
    </row>
    <row r="15" spans="1:5" x14ac:dyDescent="0.25">
      <c r="A15" s="34" t="s">
        <v>31</v>
      </c>
      <c r="B15" s="42">
        <v>2.3701509119525972E-2</v>
      </c>
      <c r="C15" s="43">
        <v>6.7586334598648276E-3</v>
      </c>
      <c r="D15" s="43">
        <v>6.7586334598648276E-3</v>
      </c>
      <c r="E15" s="44">
        <v>0.88047403018239057</v>
      </c>
    </row>
    <row r="16" spans="1:5" x14ac:dyDescent="0.25">
      <c r="A16" s="34" t="s">
        <v>52</v>
      </c>
      <c r="B16" s="42">
        <v>4.3046693001114146E-3</v>
      </c>
      <c r="C16" s="43">
        <v>2.3295857388838247E-3</v>
      </c>
      <c r="D16" s="43">
        <v>2.3295857388838247E-3</v>
      </c>
      <c r="E16" s="44">
        <v>0.79438873695938417</v>
      </c>
    </row>
    <row r="17" spans="1:5" x14ac:dyDescent="0.25">
      <c r="A17" s="34" t="s">
        <v>53</v>
      </c>
      <c r="B17" s="42">
        <v>9.917157877967181E-3</v>
      </c>
      <c r="C17" s="43">
        <v>3.3256332642982315E-3</v>
      </c>
      <c r="D17" s="43">
        <v>3.3256332642982315E-3</v>
      </c>
      <c r="E17" s="44">
        <v>0.8523478572566513</v>
      </c>
    </row>
    <row r="18" spans="1:5" x14ac:dyDescent="0.25">
      <c r="A18" s="34" t="s">
        <v>54</v>
      </c>
      <c r="B18" s="42">
        <v>4.2287065990505666E-3</v>
      </c>
      <c r="C18" s="43">
        <v>2.0900503880364866E-3</v>
      </c>
      <c r="D18" s="43">
        <v>2.0900503880364866E-3</v>
      </c>
      <c r="E18" s="44">
        <v>0.83702467555613158</v>
      </c>
    </row>
    <row r="19" spans="1:5" x14ac:dyDescent="0.25">
      <c r="A19" s="34" t="s">
        <v>55</v>
      </c>
      <c r="B19" s="42">
        <v>2.8541527923128152E-3</v>
      </c>
      <c r="C19" s="43">
        <v>1.9344813370120193E-3</v>
      </c>
      <c r="D19" s="43">
        <v>1.9344813370120193E-3</v>
      </c>
      <c r="E19" s="44">
        <v>0.80721783528367108</v>
      </c>
    </row>
    <row r="20" spans="1:5" x14ac:dyDescent="0.25">
      <c r="A20" s="34" t="s">
        <v>56</v>
      </c>
      <c r="B20" s="42">
        <v>4.311167067261837E-3</v>
      </c>
      <c r="C20" s="43">
        <v>2.1365075731563086E-3</v>
      </c>
      <c r="D20" s="43">
        <v>2.1365075731563086E-3</v>
      </c>
      <c r="E20" s="44">
        <v>0.8273625577047804</v>
      </c>
    </row>
    <row r="21" spans="1:5" x14ac:dyDescent="0.25">
      <c r="A21" s="34" t="s">
        <v>57</v>
      </c>
      <c r="B21" s="42">
        <v>2.871500358937545E-3</v>
      </c>
      <c r="C21" s="43">
        <v>1.3862415525905389E-3</v>
      </c>
      <c r="D21" s="43">
        <v>1.3862415525905389E-3</v>
      </c>
      <c r="E21" s="44">
        <v>0.84535980394583754</v>
      </c>
    </row>
    <row r="22" spans="1:5" x14ac:dyDescent="0.25">
      <c r="A22" s="34" t="s">
        <v>58</v>
      </c>
      <c r="B22" s="42">
        <v>2.1726458587250277E-3</v>
      </c>
      <c r="C22" s="43">
        <v>1.0598272481585501E-3</v>
      </c>
      <c r="D22" s="43">
        <v>1.0598272481585501E-3</v>
      </c>
      <c r="E22" s="44">
        <v>0.83270626887817289</v>
      </c>
    </row>
    <row r="23" spans="1:5" x14ac:dyDescent="0.25">
      <c r="A23" s="34" t="s">
        <v>59</v>
      </c>
      <c r="B23" s="42">
        <v>5.9870550161812298E-3</v>
      </c>
      <c r="C23" s="43">
        <v>6.1488673139158574E-3</v>
      </c>
      <c r="D23" s="43">
        <v>6.1488673139158574E-3</v>
      </c>
      <c r="E23" s="44">
        <v>0.83826860841423945</v>
      </c>
    </row>
    <row r="24" spans="1:5" x14ac:dyDescent="0.25">
      <c r="A24" s="34" t="s">
        <v>60</v>
      </c>
      <c r="B24" s="42">
        <v>1.424901185770751E-2</v>
      </c>
      <c r="C24" s="43">
        <v>6.1857707509881425E-3</v>
      </c>
      <c r="D24" s="43">
        <v>6.1857707509881425E-3</v>
      </c>
      <c r="E24" s="44">
        <v>0.85529644268774707</v>
      </c>
    </row>
    <row r="25" spans="1:5" x14ac:dyDescent="0.25">
      <c r="A25" s="34" t="s">
        <v>61</v>
      </c>
      <c r="B25" s="42">
        <v>1.3439930068656554E-2</v>
      </c>
      <c r="C25" s="43">
        <v>7.9765438618855967E-3</v>
      </c>
      <c r="D25" s="43">
        <v>7.9765438618855967E-3</v>
      </c>
      <c r="E25" s="44">
        <v>0.87255741108338947</v>
      </c>
    </row>
    <row r="26" spans="1:5" x14ac:dyDescent="0.25">
      <c r="A26" s="34" t="s">
        <v>62</v>
      </c>
      <c r="B26" s="42">
        <v>5.9000164215168788E-3</v>
      </c>
      <c r="C26" s="43">
        <v>3.4133295798437608E-3</v>
      </c>
      <c r="D26" s="43">
        <v>3.4133295798437608E-3</v>
      </c>
      <c r="E26" s="44">
        <v>0.83627747671663499</v>
      </c>
    </row>
    <row r="27" spans="1:5" x14ac:dyDescent="0.25">
      <c r="A27" s="34" t="s">
        <v>63</v>
      </c>
      <c r="B27" s="42">
        <v>7.2482172511477974E-3</v>
      </c>
      <c r="C27" s="43">
        <v>3.1454527693660253E-3</v>
      </c>
      <c r="D27" s="43">
        <v>3.1454527693660253E-3</v>
      </c>
      <c r="E27" s="44">
        <v>0.8243039953111263</v>
      </c>
    </row>
    <row r="28" spans="1:5" x14ac:dyDescent="0.25">
      <c r="A28" s="34" t="s">
        <v>64</v>
      </c>
      <c r="B28" s="42">
        <v>1.321925604964565E-3</v>
      </c>
      <c r="C28" s="43">
        <v>7.3440311386920281E-4</v>
      </c>
      <c r="D28" s="43">
        <v>7.3440311386920281E-4</v>
      </c>
      <c r="E28" s="44">
        <v>0.83560386296037892</v>
      </c>
    </row>
    <row r="29" spans="1:5" x14ac:dyDescent="0.25">
      <c r="A29" s="34" t="s">
        <v>65</v>
      </c>
      <c r="B29" s="42">
        <v>4.7813722004976895E-3</v>
      </c>
      <c r="C29" s="43">
        <v>2.4706718805545679E-3</v>
      </c>
      <c r="D29" s="43">
        <v>2.4706718805545679E-3</v>
      </c>
      <c r="E29" s="44">
        <v>0.81916103803768214</v>
      </c>
    </row>
    <row r="30" spans="1:5" x14ac:dyDescent="0.25">
      <c r="A30" s="34" t="s">
        <v>66</v>
      </c>
      <c r="B30" s="42">
        <v>4.50230008808848E-3</v>
      </c>
      <c r="C30" s="43">
        <v>2.4469022217872174E-3</v>
      </c>
      <c r="D30" s="43">
        <v>2.4469022217872174E-3</v>
      </c>
      <c r="E30" s="44">
        <v>0.76411862581971224</v>
      </c>
    </row>
    <row r="31" spans="1:5" x14ac:dyDescent="0.25">
      <c r="A31" s="34" t="s">
        <v>67</v>
      </c>
      <c r="B31" s="42">
        <v>3.500405844155844E-3</v>
      </c>
      <c r="C31" s="43">
        <v>1.9277597402597403E-3</v>
      </c>
      <c r="D31" s="43">
        <v>1.9277597402597403E-3</v>
      </c>
      <c r="E31" s="44">
        <v>0.81189123376623373</v>
      </c>
    </row>
    <row r="32" spans="1:5" x14ac:dyDescent="0.25">
      <c r="A32" s="34" t="s">
        <v>17</v>
      </c>
      <c r="B32" s="42">
        <v>1.8543875435233365E-2</v>
      </c>
      <c r="C32" s="43">
        <v>4.1469426078791912E-3</v>
      </c>
      <c r="D32" s="43">
        <v>4.1469426078791912E-3</v>
      </c>
      <c r="E32" s="44">
        <v>0.84867571691248389</v>
      </c>
    </row>
    <row r="33" spans="1:5" x14ac:dyDescent="0.25">
      <c r="A33" s="34" t="s">
        <v>68</v>
      </c>
      <c r="B33" s="42">
        <v>7.1547300715473008E-3</v>
      </c>
      <c r="C33" s="43">
        <v>4.7698200476982006E-3</v>
      </c>
      <c r="D33" s="43">
        <v>4.7698200476982006E-3</v>
      </c>
      <c r="E33" s="44">
        <v>0.85661631856616316</v>
      </c>
    </row>
    <row r="34" spans="1:5" x14ac:dyDescent="0.25">
      <c r="A34" s="34" t="s">
        <v>69</v>
      </c>
      <c r="B34" s="42">
        <v>1.8404991739599405E-2</v>
      </c>
      <c r="C34" s="43">
        <v>5.5843038735134696E-3</v>
      </c>
      <c r="D34" s="43">
        <v>5.5843038735134696E-3</v>
      </c>
      <c r="E34" s="44">
        <v>0.87833317404186184</v>
      </c>
    </row>
    <row r="35" spans="1:5" x14ac:dyDescent="0.25">
      <c r="A35" s="34" t="s">
        <v>70</v>
      </c>
      <c r="B35" s="42">
        <v>5.2755582872362223E-3</v>
      </c>
      <c r="C35" s="43">
        <v>2.5097316123745134E-3</v>
      </c>
      <c r="D35" s="43">
        <v>2.5097316123745134E-3</v>
      </c>
      <c r="E35" s="44">
        <v>0.81827494365908626</v>
      </c>
    </row>
    <row r="36" spans="1:5" x14ac:dyDescent="0.25">
      <c r="A36" s="34" t="s">
        <v>4</v>
      </c>
      <c r="B36" s="42">
        <v>1.1600374604633082E-2</v>
      </c>
      <c r="C36" s="43">
        <v>8.1547187814747409E-3</v>
      </c>
      <c r="D36" s="43">
        <v>8.1547187814747409E-3</v>
      </c>
      <c r="E36" s="44">
        <v>0.87515240400756278</v>
      </c>
    </row>
    <row r="37" spans="1:5" x14ac:dyDescent="0.25">
      <c r="A37" s="34" t="s">
        <v>71</v>
      </c>
      <c r="B37" s="42">
        <v>7.7265973254086184E-3</v>
      </c>
      <c r="C37" s="43">
        <v>2.608552088492653E-3</v>
      </c>
      <c r="D37" s="43">
        <v>2.608552088492653E-3</v>
      </c>
      <c r="E37" s="44">
        <v>0.85454845633151721</v>
      </c>
    </row>
    <row r="38" spans="1:5" x14ac:dyDescent="0.25">
      <c r="A38" s="34" t="s">
        <v>72</v>
      </c>
      <c r="B38" s="42">
        <v>1.2540757461750689E-3</v>
      </c>
      <c r="C38" s="43">
        <v>1.0032605969400551E-3</v>
      </c>
      <c r="D38" s="43">
        <v>1.0032605969400551E-3</v>
      </c>
      <c r="E38" s="44">
        <v>0.78417356408327066</v>
      </c>
    </row>
    <row r="39" spans="1:5" x14ac:dyDescent="0.25">
      <c r="A39" s="34" t="s">
        <v>73</v>
      </c>
      <c r="B39" s="42">
        <v>4.8849989822918787E-3</v>
      </c>
      <c r="C39" s="43">
        <v>2.3261899915675613E-3</v>
      </c>
      <c r="D39" s="43">
        <v>2.3261899915675613E-3</v>
      </c>
      <c r="E39" s="44">
        <v>0.86082599129617243</v>
      </c>
    </row>
    <row r="40" spans="1:5" x14ac:dyDescent="0.25">
      <c r="A40" s="34" t="s">
        <v>74</v>
      </c>
      <c r="B40" s="42">
        <v>5.3172881830266562E-3</v>
      </c>
      <c r="C40" s="43">
        <v>7.6960750017491079E-3</v>
      </c>
      <c r="D40" s="43">
        <v>7.6960750017491079E-3</v>
      </c>
      <c r="E40" s="44">
        <v>0.83199235056787701</v>
      </c>
    </row>
    <row r="41" spans="1:5" x14ac:dyDescent="0.25">
      <c r="A41" s="34" t="s">
        <v>75</v>
      </c>
      <c r="B41" s="42">
        <v>1.6802776110835704E-2</v>
      </c>
      <c r="C41" s="43">
        <v>7.5142849688209353E-3</v>
      </c>
      <c r="D41" s="43">
        <v>7.5142849688209353E-3</v>
      </c>
      <c r="E41" s="44">
        <v>0.80212382915438207</v>
      </c>
    </row>
    <row r="42" spans="1:5" x14ac:dyDescent="0.25">
      <c r="A42" s="34" t="s">
        <v>76</v>
      </c>
      <c r="B42" s="42">
        <v>6.8749387914993632E-3</v>
      </c>
      <c r="C42" s="43">
        <v>3.8096170796200176E-3</v>
      </c>
      <c r="D42" s="43">
        <v>3.8096170796200176E-3</v>
      </c>
      <c r="E42" s="44">
        <v>0.87027715209088241</v>
      </c>
    </row>
    <row r="43" spans="1:5" x14ac:dyDescent="0.25">
      <c r="A43" s="34" t="s">
        <v>77</v>
      </c>
      <c r="B43" s="42">
        <v>7.2926162260711028E-3</v>
      </c>
      <c r="C43" s="43">
        <v>5.8113035551504103E-3</v>
      </c>
      <c r="D43" s="43">
        <v>5.8113035551504103E-3</v>
      </c>
      <c r="E43" s="44">
        <v>0.89106654512306294</v>
      </c>
    </row>
    <row r="44" spans="1:5" x14ac:dyDescent="0.25">
      <c r="A44" s="34" t="s">
        <v>78</v>
      </c>
      <c r="B44" s="42">
        <v>4.1448516579406635E-3</v>
      </c>
      <c r="C44" s="43">
        <v>1.7848643503093765E-3</v>
      </c>
      <c r="D44" s="43">
        <v>1.7848643503093765E-3</v>
      </c>
      <c r="E44" s="44">
        <v>0.8577264794542282</v>
      </c>
    </row>
    <row r="45" spans="1:5" x14ac:dyDescent="0.25">
      <c r="A45" s="34" t="s">
        <v>79</v>
      </c>
      <c r="B45" s="42">
        <v>1.8518518518518519E-3</v>
      </c>
      <c r="C45" s="43">
        <v>1.4161220043572985E-3</v>
      </c>
      <c r="D45" s="43">
        <v>1.4161220043572985E-3</v>
      </c>
      <c r="E45" s="44">
        <v>0.78246187363834419</v>
      </c>
    </row>
    <row r="46" spans="1:5" x14ac:dyDescent="0.25">
      <c r="A46" s="34" t="s">
        <v>80</v>
      </c>
      <c r="B46" s="42">
        <v>5.0773842295222362E-3</v>
      </c>
      <c r="C46" s="43">
        <v>1.6822658591790544E-3</v>
      </c>
      <c r="D46" s="43">
        <v>1.6822658591790544E-3</v>
      </c>
      <c r="E46" s="44">
        <v>0.85956138741053401</v>
      </c>
    </row>
    <row r="47" spans="1:5" x14ac:dyDescent="0.25">
      <c r="A47" s="34" t="s">
        <v>5</v>
      </c>
      <c r="B47" s="42">
        <v>8.9197801260631239E-3</v>
      </c>
      <c r="C47" s="43">
        <v>2.1436933549382475E-3</v>
      </c>
      <c r="D47" s="43">
        <v>2.1436933549382475E-3</v>
      </c>
      <c r="E47" s="44">
        <v>0.82928758053386875</v>
      </c>
    </row>
    <row r="48" spans="1:5" x14ac:dyDescent="0.25">
      <c r="A48" s="34" t="s">
        <v>81</v>
      </c>
      <c r="B48" s="42">
        <v>1.3003055718093752E-2</v>
      </c>
      <c r="C48" s="43">
        <v>4.2259931083804695E-3</v>
      </c>
      <c r="D48" s="43">
        <v>4.2259931083804695E-3</v>
      </c>
      <c r="E48" s="44">
        <v>0.8125609518236786</v>
      </c>
    </row>
    <row r="49" spans="1:5" x14ac:dyDescent="0.25">
      <c r="A49" s="34" t="s">
        <v>82</v>
      </c>
      <c r="B49" s="42">
        <v>1.3151239251390997E-2</v>
      </c>
      <c r="C49" s="43">
        <v>9.6105209914011131E-3</v>
      </c>
      <c r="D49" s="43">
        <v>9.6105209914011131E-3</v>
      </c>
      <c r="E49" s="44">
        <v>0.83628393188332495</v>
      </c>
    </row>
    <row r="50" spans="1:5" x14ac:dyDescent="0.25">
      <c r="A50" s="34" t="s">
        <v>83</v>
      </c>
      <c r="B50" s="42">
        <v>1.0992425713730821E-2</v>
      </c>
      <c r="C50" s="43">
        <v>3.4699294361364664E-3</v>
      </c>
      <c r="D50" s="43">
        <v>3.4699294361364664E-3</v>
      </c>
      <c r="E50" s="44">
        <v>0.86359810966530715</v>
      </c>
    </row>
    <row r="51" spans="1:5" x14ac:dyDescent="0.25">
      <c r="A51" s="34" t="s">
        <v>28</v>
      </c>
      <c r="B51" s="42">
        <v>2.2314813456375347E-2</v>
      </c>
      <c r="C51" s="43">
        <v>6.0445122577426971E-3</v>
      </c>
      <c r="D51" s="43">
        <v>6.0445122577426971E-3</v>
      </c>
      <c r="E51" s="44">
        <v>0.81909009550916212</v>
      </c>
    </row>
    <row r="52" spans="1:5" x14ac:dyDescent="0.25">
      <c r="A52" s="34" t="s">
        <v>84</v>
      </c>
      <c r="B52" s="42">
        <v>1.8532000794228606E-3</v>
      </c>
      <c r="C52" s="43">
        <v>1.1913429082004105E-3</v>
      </c>
      <c r="D52" s="43">
        <v>1.1913429082004105E-3</v>
      </c>
      <c r="E52" s="44">
        <v>0.84816996492156993</v>
      </c>
    </row>
    <row r="53" spans="1:5" x14ac:dyDescent="0.25">
      <c r="A53" s="34" t="s">
        <v>85</v>
      </c>
      <c r="B53" s="42">
        <v>4.5035268583830711E-3</v>
      </c>
      <c r="C53" s="43">
        <v>2.2608066558147946E-3</v>
      </c>
      <c r="D53" s="43">
        <v>2.2608066558147946E-3</v>
      </c>
      <c r="E53" s="44">
        <v>0.83282691264243081</v>
      </c>
    </row>
    <row r="54" spans="1:5" x14ac:dyDescent="0.25">
      <c r="A54" s="34" t="s">
        <v>86</v>
      </c>
      <c r="B54" s="42">
        <v>1.6847909327615256E-3</v>
      </c>
      <c r="C54" s="43">
        <v>1.2253024965538366E-3</v>
      </c>
      <c r="D54" s="43">
        <v>1.2253024965538366E-3</v>
      </c>
      <c r="E54" s="44">
        <v>0.74911931383060193</v>
      </c>
    </row>
    <row r="55" spans="1:5" x14ac:dyDescent="0.25">
      <c r="A55" s="35" t="s">
        <v>88</v>
      </c>
      <c r="B55" s="36">
        <v>0.45762903261007493</v>
      </c>
      <c r="C55" s="37">
        <v>0.20010016230265765</v>
      </c>
      <c r="D55" s="37">
        <v>0.20010016230265765</v>
      </c>
      <c r="E55" s="39">
        <v>42.716599953476653</v>
      </c>
    </row>
  </sheetData>
  <conditionalFormatting pivot="1" sqref="B4:B54">
    <cfRule type="top10" dxfId="3" priority="2" rank="1"/>
  </conditionalFormatting>
  <conditionalFormatting pivot="1" sqref="B4:B55">
    <cfRule type="top10" dxfId="0" priority="1" bottom="1" rank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3"/>
  <sheetViews>
    <sheetView showGridLines="0" workbookViewId="0">
      <selection activeCell="N14" sqref="N14"/>
    </sheetView>
  </sheetViews>
  <sheetFormatPr defaultColWidth="12.6640625" defaultRowHeight="15.75" customHeight="1" x14ac:dyDescent="0.25"/>
  <sheetData>
    <row r="1" spans="1:9" ht="13.2" x14ac:dyDescent="0.25">
      <c r="A1" s="28" t="s">
        <v>51</v>
      </c>
      <c r="B1" s="26"/>
      <c r="C1" s="26"/>
      <c r="D1" s="26"/>
      <c r="E1" s="26"/>
      <c r="F1" s="26"/>
      <c r="G1" s="26"/>
      <c r="H1" s="26"/>
      <c r="I1" s="26"/>
    </row>
    <row r="2" spans="1:9" ht="15.75" customHeight="1" x14ac:dyDescent="0.25">
      <c r="A2" s="26"/>
      <c r="B2" s="26"/>
      <c r="C2" s="26"/>
      <c r="D2" s="26"/>
      <c r="E2" s="26"/>
      <c r="F2" s="26"/>
      <c r="G2" s="26"/>
      <c r="H2" s="26"/>
      <c r="I2" s="26"/>
    </row>
    <row r="3" spans="1:9" ht="15.75" customHeight="1" x14ac:dyDescent="0.25">
      <c r="A3" s="26"/>
      <c r="B3" s="26"/>
      <c r="C3" s="26"/>
      <c r="D3" s="26"/>
      <c r="E3" s="26"/>
      <c r="F3" s="26"/>
      <c r="G3" s="26"/>
      <c r="H3" s="26"/>
      <c r="I3" s="26"/>
    </row>
  </sheetData>
  <mergeCells count="1">
    <mergeCell ref="A1:I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defaultColWidth="12.6640625" defaultRowHeight="15.75" customHeight="1" x14ac:dyDescent="0.2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8"/>
  <sheetViews>
    <sheetView workbookViewId="0"/>
  </sheetViews>
  <sheetFormatPr defaultColWidth="12.6640625" defaultRowHeight="15.75" customHeight="1" x14ac:dyDescent="0.25"/>
  <cols>
    <col min="1" max="2" width="12.6640625" customWidth="1"/>
  </cols>
  <sheetData>
    <row r="1" spans="1:2" ht="225" customHeight="1" x14ac:dyDescent="0.25"/>
    <row r="3" spans="1:2" ht="22.5" customHeight="1" x14ac:dyDescent="0.25">
      <c r="A3" s="10" t="s">
        <v>1</v>
      </c>
      <c r="B3" s="10" t="s">
        <v>13</v>
      </c>
    </row>
    <row r="4" spans="1:2" ht="22.5" customHeight="1" x14ac:dyDescent="0.25">
      <c r="A4" s="12" t="s">
        <v>17</v>
      </c>
      <c r="B4" s="13">
        <v>1.85</v>
      </c>
    </row>
    <row r="5" spans="1:2" ht="22.5" customHeight="1" x14ac:dyDescent="0.25">
      <c r="A5" s="12" t="s">
        <v>28</v>
      </c>
      <c r="B5" s="13">
        <v>2.23</v>
      </c>
    </row>
    <row r="6" spans="1:2" ht="22.5" customHeight="1" x14ac:dyDescent="0.25">
      <c r="A6" s="12" t="s">
        <v>31</v>
      </c>
      <c r="B6" s="13">
        <v>2.37</v>
      </c>
    </row>
    <row r="7" spans="1:2" ht="22.5" customHeight="1" x14ac:dyDescent="0.25">
      <c r="A7" s="12" t="s">
        <v>36</v>
      </c>
      <c r="B7" s="13">
        <v>2.6</v>
      </c>
    </row>
    <row r="8" spans="1:2" ht="22.5" customHeight="1" x14ac:dyDescent="0.25">
      <c r="A8" s="12" t="s">
        <v>2</v>
      </c>
      <c r="B8" s="13">
        <v>3.41</v>
      </c>
    </row>
  </sheetData>
  <dataValidations count="1">
    <dataValidation type="custom" allowBlank="1" showDropDown="1" sqref="B4:B8">
      <formula1>AND(ISNUMBER(B4),(NOT(OR(NOT(ISERROR(DATEVALUE(B4))), AND(ISNUMBER(B4), LEFT(CELL("format", B4))="D")))))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Vehicle Data</vt:lpstr>
      <vt:lpstr>Marketing Analysis</vt:lpstr>
      <vt:lpstr>Q.1-Answer</vt:lpstr>
      <vt:lpstr>Dashboard</vt:lpstr>
      <vt:lpstr>Recommendation</vt:lpstr>
      <vt:lpstr>Chart1 Top 5 States by % EV Veh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khedawy</cp:lastModifiedBy>
  <dcterms:modified xsi:type="dcterms:W3CDTF">2026-10-28T09:45:59Z</dcterms:modified>
</cp:coreProperties>
</file>